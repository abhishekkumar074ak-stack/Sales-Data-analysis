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8" sheetId="8" r:id="rId5"/>
    <sheet name="Sheet5" sheetId="5" r:id="rId6"/>
    <sheet name="Sheet7" sheetId="7" r:id="rId7"/>
    <sheet name="Sheet6" sheetId="6" r:id="rId8"/>
  </sheets>
  <definedNames>
    <definedName name="_xlnm._FilterDatabase" localSheetId="1" hidden="1">Sheet2!$A$1:$I$18</definedName>
  </definedNames>
  <calcPr calcId="144525"/>
  <pivotCaches>
    <pivotCache cacheId="1" r:id="rId9"/>
    <pivotCache cacheId="6" r:id="rId10"/>
  </pivotCaches>
</workbook>
</file>

<file path=xl/calcChain.xml><?xml version="1.0" encoding="utf-8"?>
<calcChain xmlns="http://schemas.openxmlformats.org/spreadsheetml/2006/main">
  <c r="J4" i="6" l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3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2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L2" i="5"/>
  <c r="G2" i="6" l="1"/>
  <c r="E2" i="4" l="1"/>
  <c r="E3" i="4"/>
  <c r="E4" i="4"/>
  <c r="E5" i="4"/>
  <c r="E1" i="4"/>
</calcChain>
</file>

<file path=xl/sharedStrings.xml><?xml version="1.0" encoding="utf-8"?>
<sst xmlns="http://schemas.openxmlformats.org/spreadsheetml/2006/main" count="3557" uniqueCount="1589">
  <si>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</si>
  <si>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</si>
  <si>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</si>
  <si>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</si>
  <si>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</si>
  <si>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</si>
  <si>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</si>
  <si>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</si>
  <si>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</si>
  <si>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</si>
  <si>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</si>
  <si>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</si>
  <si>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</si>
  <si>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</si>
  <si>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</si>
  <si>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</si>
  <si>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</si>
  <si>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</si>
  <si>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</si>
  <si>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</si>
  <si>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</si>
  <si>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</si>
  <si>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</si>
  <si>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</si>
  <si>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</si>
  <si>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</si>
  <si>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</si>
  <si>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</si>
  <si>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</si>
  <si>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</si>
  <si>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</si>
  <si>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</si>
  <si>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</si>
  <si>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</si>
  <si>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</si>
  <si>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</si>
  <si>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</si>
  <si>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</si>
  <si>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</si>
  <si>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</si>
  <si>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</si>
  <si>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</si>
  <si>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</si>
  <si>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</si>
  <si>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</si>
  <si>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</si>
  <si>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</si>
  <si>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</si>
  <si>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</si>
  <si>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</si>
  <si>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</si>
  <si>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</si>
  <si>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</si>
  <si>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</si>
  <si>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</si>
  <si>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</si>
  <si>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</si>
  <si>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</si>
  <si>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</si>
  <si>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</si>
  <si>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</si>
  <si>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</si>
  <si>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</si>
  <si>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</si>
  <si>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</si>
  <si>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</si>
  <si>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</si>
  <si>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</si>
  <si>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</si>
  <si>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</si>
  <si>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</si>
  <si>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</si>
  <si>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</si>
  <si>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</si>
  <si>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</si>
  <si>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</si>
  <si>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</si>
  <si>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</si>
  <si>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</si>
  <si>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</si>
  <si>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</si>
  <si>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</si>
  <si>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</si>
  <si>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</si>
  <si>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</si>
  <si>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</si>
  <si>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</si>
  <si>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</si>
  <si>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</si>
  <si>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</si>
  <si>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</si>
  <si>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</si>
  <si>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</si>
  <si>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</si>
  <si>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</si>
  <si>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</si>
  <si>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</si>
  <si>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</si>
  <si>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</si>
  <si>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</si>
  <si>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</si>
  <si>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</si>
  <si>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</si>
  <si>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</si>
  <si>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</si>
  <si>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</si>
  <si>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</si>
  <si>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</si>
  <si>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</si>
  <si>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</si>
  <si>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</si>
  <si>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</si>
  <si>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</si>
  <si>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</si>
  <si>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</si>
  <si>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</si>
  <si>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</si>
  <si>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</si>
  <si>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</si>
  <si>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</si>
  <si>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</si>
  <si>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</si>
  <si>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</si>
  <si>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</si>
  <si>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</si>
  <si>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</si>
  <si>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</si>
  <si>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</si>
  <si>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</si>
  <si>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</si>
  <si>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</si>
  <si>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</si>
  <si>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</si>
  <si>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</si>
  <si>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</si>
  <si>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</si>
  <si>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</si>
  <si>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</si>
  <si>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</si>
  <si>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</si>
  <si>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</si>
  <si>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</si>
  <si>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</si>
  <si>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</si>
  <si>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</si>
  <si>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</si>
  <si>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</si>
  <si>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</si>
  <si>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</si>
  <si>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</si>
  <si>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</si>
  <si>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</si>
  <si>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</si>
  <si>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</si>
  <si>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</si>
  <si>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</si>
  <si>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</si>
  <si>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</si>
  <si>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</si>
  <si>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</si>
  <si>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</si>
  <si>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</si>
  <si>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</si>
  <si>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</si>
  <si>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</si>
  <si>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</si>
  <si>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</si>
  <si>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</si>
  <si>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</si>
  <si>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</si>
  <si>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</si>
  <si>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</si>
  <si>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</si>
  <si>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</si>
  <si>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</si>
  <si>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</si>
  <si>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</si>
  <si>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</si>
  <si>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</si>
  <si>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</si>
  <si>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</si>
  <si>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</si>
  <si>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</si>
  <si>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</si>
  <si>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</si>
  <si>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</si>
  <si>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</si>
  <si>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</si>
  <si>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</si>
  <si>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</si>
  <si>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</si>
  <si>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</si>
  <si>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</si>
  <si>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</si>
  <si>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</si>
  <si>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</si>
  <si>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</si>
  <si>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</si>
  <si>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</si>
  <si>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</si>
  <si>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</si>
  <si>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</si>
  <si>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</si>
  <si>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</si>
  <si>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</si>
  <si>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</si>
  <si>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</si>
  <si>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</si>
  <si>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</si>
  <si>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</si>
  <si>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</si>
  <si>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</si>
  <si>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</si>
  <si>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</si>
  <si>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</si>
  <si>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</si>
  <si>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</si>
  <si>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</si>
  <si>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</si>
  <si>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</si>
  <si>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</si>
  <si>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</si>
  <si>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</si>
  <si>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</si>
  <si>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</si>
  <si>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</si>
  <si>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</si>
  <si>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</si>
  <si>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</si>
  <si>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</si>
  <si>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</si>
  <si>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</si>
  <si>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</si>
  <si>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</si>
  <si>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</si>
  <si>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</si>
  <si>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</si>
  <si>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</si>
  <si>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</si>
  <si>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</si>
  <si>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</si>
  <si>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</si>
  <si>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</si>
  <si>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</si>
  <si>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</si>
  <si>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</si>
  <si>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</si>
  <si>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</si>
  <si>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</si>
  <si>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</si>
  <si>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</si>
  <si>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</si>
  <si>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</si>
  <si>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</si>
  <si>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</si>
  <si>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</si>
  <si>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</si>
  <si>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</si>
  <si>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</si>
  <si>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</si>
  <si>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</si>
  <si>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</si>
  <si>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</si>
  <si>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</si>
  <si>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</si>
  <si>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</si>
  <si>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</si>
  <si>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</si>
  <si>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</si>
  <si>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</si>
  <si>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</si>
  <si>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</si>
  <si>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</si>
  <si>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</si>
  <si>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</si>
  <si>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</si>
  <si>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</si>
  <si>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</si>
  <si>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</si>
  <si>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</si>
  <si>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</si>
  <si>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</si>
  <si>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</si>
  <si>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</si>
  <si>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</si>
  <si>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</si>
  <si>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</si>
  <si>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</si>
  <si>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</si>
  <si>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</si>
  <si>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</si>
  <si>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</si>
  <si>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</si>
  <si>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</si>
  <si>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</si>
  <si>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</si>
  <si>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</si>
  <si>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</si>
  <si>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</si>
  <si>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</si>
  <si>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</si>
  <si>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</si>
  <si>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</si>
  <si>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</si>
  <si>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</si>
  <si>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</si>
  <si>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</si>
  <si>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</si>
  <si>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</si>
  <si>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</si>
  <si>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</si>
  <si>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</si>
  <si>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</si>
  <si>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</si>
  <si>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</si>
  <si>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</si>
  <si>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</si>
  <si>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</si>
  <si>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</si>
  <si>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</si>
  <si>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</si>
  <si>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</si>
  <si>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</si>
  <si>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</si>
  <si>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</si>
  <si>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</si>
  <si>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</si>
  <si>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</si>
  <si>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</si>
  <si>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</si>
  <si>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</si>
  <si>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</si>
  <si>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</si>
  <si>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</si>
  <si>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</si>
  <si>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</si>
  <si>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</si>
  <si>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</si>
  <si>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</si>
  <si>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</si>
  <si>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</si>
  <si>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</si>
  <si>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</si>
  <si>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</si>
  <si>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</si>
  <si>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</si>
  <si>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</si>
  <si>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</si>
  <si>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</si>
  <si>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</si>
  <si>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</si>
  <si>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</si>
  <si>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</si>
  <si>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</si>
  <si>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</si>
  <si>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</si>
  <si>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</si>
  <si>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</si>
  <si>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</si>
  <si>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</si>
  <si>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</si>
  <si>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</si>
  <si>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</si>
  <si>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</si>
  <si>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</si>
  <si>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</si>
  <si>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</si>
  <si>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</si>
  <si>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</si>
  <si>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</si>
  <si>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</si>
  <si>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</si>
  <si>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</si>
  <si>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</si>
  <si>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</si>
  <si>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</si>
  <si>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</si>
  <si>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</si>
  <si>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</si>
  <si>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</si>
  <si>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</si>
  <si>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</si>
  <si>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</si>
  <si>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</si>
  <si>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</si>
  <si>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</si>
  <si>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</si>
  <si>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</si>
  <si>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</si>
  <si>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</si>
  <si>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</si>
  <si>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</si>
  <si>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</si>
  <si>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</si>
  <si>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</si>
  <si>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</si>
  <si>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</si>
  <si>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</si>
  <si>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</si>
  <si>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</si>
  <si>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</si>
  <si>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</si>
  <si>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</si>
  <si>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</si>
  <si>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</si>
  <si>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</si>
  <si>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</si>
  <si>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</si>
  <si>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</si>
  <si>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</si>
  <si>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</si>
  <si>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</si>
  <si>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</si>
  <si>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</si>
  <si>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</si>
  <si>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</si>
  <si>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</si>
  <si>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</si>
  <si>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</si>
  <si>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</si>
  <si>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</si>
  <si>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</si>
  <si>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</si>
  <si>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</si>
  <si>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</si>
  <si>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</si>
  <si>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</si>
  <si>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</si>
  <si>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</si>
  <si>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</si>
  <si>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</si>
  <si>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</si>
  <si>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</si>
  <si>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</si>
  <si>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</si>
  <si>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</si>
  <si>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</si>
  <si>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</si>
  <si>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</si>
  <si>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</si>
  <si>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</si>
  <si>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</si>
  <si>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</si>
  <si>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</si>
  <si>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</si>
  <si>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</si>
  <si>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</si>
  <si>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</si>
  <si>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</si>
  <si>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</si>
  <si>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</si>
  <si>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</si>
  <si>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</si>
  <si>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</si>
  <si>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</si>
  <si>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</si>
  <si>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</si>
  <si>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</si>
  <si>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</si>
  <si>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</si>
  <si>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</si>
  <si>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</si>
  <si>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</si>
  <si>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</si>
  <si>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</si>
  <si>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</si>
  <si>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</si>
  <si>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</si>
  <si>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</si>
  <si>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</si>
  <si>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</si>
  <si>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</si>
  <si>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</si>
  <si>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</si>
  <si>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</si>
  <si>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</si>
  <si>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</si>
  <si>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</si>
  <si>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</si>
  <si>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</si>
  <si>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</si>
  <si>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</si>
  <si>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</si>
  <si>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</si>
  <si>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</si>
  <si>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</si>
  <si>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</si>
  <si>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</si>
  <si>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</si>
  <si>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</si>
  <si>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</si>
  <si>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</si>
  <si>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</si>
  <si>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</si>
  <si>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</si>
  <si>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</si>
  <si>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</si>
  <si>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</si>
  <si>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</si>
  <si>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</si>
  <si>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</si>
  <si>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</si>
  <si>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</si>
  <si>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</si>
  <si>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</si>
  <si>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</si>
  <si>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</si>
  <si>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</si>
  <si>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</si>
  <si>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</si>
  <si>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</si>
  <si>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</si>
  <si>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</si>
  <si>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</si>
  <si>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</si>
  <si>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</si>
  <si>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</si>
  <si>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</si>
  <si>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</si>
  <si>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</si>
  <si>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</si>
  <si>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</si>
  <si>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</si>
  <si>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</si>
  <si>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</si>
  <si>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</si>
  <si>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</si>
  <si>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</si>
  <si>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</si>
  <si>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</si>
  <si>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</si>
  <si>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</si>
  <si>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</si>
  <si>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</si>
  <si>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</si>
  <si>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</si>
  <si>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</si>
  <si>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</si>
  <si>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</si>
  <si>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</si>
  <si>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</si>
  <si>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</si>
  <si>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</si>
  <si>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</si>
  <si>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</si>
  <si>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</si>
  <si>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</si>
  <si>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</si>
  <si>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</si>
  <si>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</si>
  <si>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</si>
  <si>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</si>
  <si>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</si>
  <si>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</si>
  <si>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</si>
  <si>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</si>
  <si>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</si>
  <si>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</si>
  <si>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</si>
  <si>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</si>
  <si>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</si>
  <si>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</si>
  <si>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</si>
  <si>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</si>
  <si>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</si>
  <si>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</si>
  <si>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</si>
  <si>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</si>
  <si>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</si>
  <si>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</si>
  <si>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</si>
  <si>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</si>
  <si>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</si>
  <si>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</si>
  <si>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</si>
  <si>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</si>
  <si>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</si>
  <si>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</si>
  <si>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</si>
  <si>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</si>
  <si>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</si>
  <si>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</si>
  <si>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</si>
  <si>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</si>
  <si>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</si>
  <si>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</si>
  <si>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</si>
  <si>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</si>
  <si>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</si>
  <si>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</si>
  <si>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</si>
  <si>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</si>
  <si>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</si>
  <si>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</si>
  <si>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</si>
  <si>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</si>
  <si>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</si>
  <si>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</si>
  <si>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</si>
  <si>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</si>
  <si>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</si>
  <si>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</si>
  <si>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</si>
  <si>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</si>
  <si>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</si>
  <si>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</si>
  <si>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</si>
  <si>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</si>
  <si>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</si>
  <si>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</si>
  <si>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</si>
  <si>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</si>
  <si>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</si>
  <si>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</si>
  <si>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</si>
  <si>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</si>
  <si>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</si>
  <si>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</si>
  <si>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</si>
  <si>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</si>
  <si>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</si>
  <si>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</si>
  <si>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</si>
  <si>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</si>
  <si>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</si>
  <si>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</si>
  <si>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</si>
  <si>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</si>
  <si>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</si>
  <si>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</si>
  <si>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</si>
  <si>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</si>
  <si>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</si>
  <si>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</si>
  <si>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</si>
  <si>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</si>
  <si>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</si>
  <si>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</si>
  <si>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</si>
  <si>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</si>
  <si>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</si>
  <si>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</si>
  <si>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</si>
  <si>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</si>
  <si>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</si>
  <si>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</si>
  <si>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</si>
  <si>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</si>
  <si>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</si>
  <si>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</si>
  <si>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</si>
  <si>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</si>
  <si>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</si>
  <si>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</si>
  <si>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</si>
  <si>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</si>
  <si>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</si>
  <si>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</si>
  <si>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</si>
  <si>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</si>
  <si>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</si>
  <si>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</si>
  <si>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</si>
  <si>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</si>
  <si>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</si>
  <si>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</si>
  <si>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</si>
  <si>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</si>
  <si>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</si>
  <si>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</si>
  <si>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</si>
  <si>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</si>
  <si>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</si>
  <si>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</si>
  <si>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</si>
  <si>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</si>
  <si>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</si>
  <si>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</si>
  <si>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</si>
  <si>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</si>
  <si>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</si>
  <si>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</si>
  <si>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</si>
  <si>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</si>
  <si>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</si>
  <si>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</si>
  <si>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</si>
  <si>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</si>
  <si>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</si>
  <si>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</si>
  <si>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</si>
  <si>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</si>
  <si>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</si>
  <si>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</si>
  <si>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</si>
  <si>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</si>
  <si>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</si>
  <si>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</si>
  <si>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</si>
  <si>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</si>
  <si>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</si>
  <si>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</si>
  <si>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</si>
  <si>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</si>
  <si>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</si>
  <si>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</si>
  <si>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</si>
  <si>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</si>
  <si>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</si>
  <si>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</si>
  <si>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</si>
  <si>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</si>
  <si>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</si>
  <si>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</si>
  <si>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</si>
  <si>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</si>
  <si>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</si>
  <si>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</si>
  <si>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</si>
  <si>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</si>
  <si>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</si>
  <si>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</si>
  <si>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</si>
  <si>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</si>
  <si>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</si>
  <si>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</si>
  <si>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</si>
  <si>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</si>
  <si>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</si>
  <si>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</si>
  <si>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</si>
  <si>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</si>
  <si>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</si>
  <si>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</si>
  <si>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</si>
  <si>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</si>
  <si>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</si>
  <si>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</si>
  <si>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</si>
  <si>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</si>
  <si>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</si>
  <si>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</si>
  <si>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</si>
  <si>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</si>
  <si>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</si>
  <si>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</si>
  <si>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</si>
  <si>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</si>
  <si>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</si>
  <si>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</si>
  <si>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</si>
  <si>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</si>
  <si>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</si>
  <si>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</si>
  <si>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</si>
  <si>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</si>
  <si>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</si>
  <si>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</si>
  <si>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</si>
  <si>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</si>
  <si>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</si>
  <si>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</si>
  <si>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</si>
  <si>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</si>
  <si>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</si>
  <si>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</si>
  <si>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</si>
  <si>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</si>
  <si>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</si>
  <si>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</si>
  <si>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</si>
  <si>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</si>
  <si>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</si>
  <si>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</si>
  <si>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</si>
  <si>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</si>
  <si>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</si>
  <si>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</si>
  <si>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</si>
  <si>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</si>
  <si>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</si>
  <si>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</si>
  <si>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</si>
  <si>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</si>
  <si>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</si>
  <si>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</si>
  <si>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</si>
  <si>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</si>
  <si>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</si>
  <si>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</si>
  <si>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</si>
  <si>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</si>
  <si>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</si>
  <si>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</si>
  <si>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</si>
  <si>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</si>
  <si>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</si>
  <si>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</si>
  <si>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</si>
  <si>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</si>
  <si>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</si>
  <si>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</si>
  <si>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</si>
  <si>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</si>
  <si>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</si>
  <si>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</si>
  <si>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</si>
  <si>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</si>
  <si>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</si>
  <si>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</si>
  <si>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</si>
  <si>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</si>
  <si>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</si>
  <si>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</si>
  <si>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</si>
  <si>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</si>
  <si>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</si>
  <si>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</si>
  <si>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</si>
  <si>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</si>
  <si>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</si>
  <si>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</si>
  <si>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</si>
  <si>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</si>
  <si>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</si>
  <si>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</si>
  <si>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</si>
  <si>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</si>
  <si>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</si>
  <si>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</si>
  <si>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</si>
  <si>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</si>
  <si>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</si>
  <si>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</si>
  <si>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</si>
  <si>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</si>
  <si>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</si>
  <si>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</si>
  <si>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</si>
  <si>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</si>
  <si>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</si>
  <si>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</si>
  <si>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</si>
  <si>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</si>
  <si>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</si>
  <si>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</si>
  <si>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</si>
  <si>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</si>
  <si>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</si>
  <si>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</si>
  <si>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</si>
  <si>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</si>
  <si>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</si>
  <si>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</si>
  <si>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</si>
  <si>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</si>
  <si>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</si>
  <si>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</si>
  <si>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</si>
  <si>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</si>
  <si>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</si>
  <si>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</si>
  <si>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</si>
  <si>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</si>
  <si>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</si>
  <si>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</si>
  <si>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</si>
  <si>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</si>
  <si>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</si>
  <si>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</si>
  <si>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</si>
  <si>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</si>
  <si>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</si>
  <si>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</si>
  <si>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</si>
  <si>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</si>
  <si>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</si>
  <si>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</si>
  <si>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</si>
  <si>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</si>
  <si>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</si>
  <si>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</si>
  <si>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</si>
  <si>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</si>
  <si>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</si>
  <si>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</si>
  <si>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</si>
  <si>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</si>
  <si>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</si>
  <si>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</si>
  <si>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</si>
  <si>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</si>
  <si>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</si>
  <si>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</si>
  <si>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</si>
  <si>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</si>
  <si>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</si>
  <si>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</si>
  <si>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</si>
  <si>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</si>
  <si>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</si>
  <si>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</si>
  <si>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</si>
  <si>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</si>
  <si>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</si>
  <si>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</si>
  <si>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</si>
  <si>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</si>
  <si>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</si>
  <si>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</si>
  <si>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</si>
  <si>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</si>
  <si>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</si>
  <si>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</si>
  <si>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</si>
  <si>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</si>
  <si>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</si>
  <si>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</si>
  <si>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</si>
  <si>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</si>
  <si>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</si>
  <si>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</si>
  <si>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</si>
  <si>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</si>
  <si>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</si>
  <si>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</si>
  <si>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</si>
  <si>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</si>
  <si>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</si>
  <si>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</si>
  <si>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</si>
  <si>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</si>
  <si>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</si>
  <si>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</si>
  <si>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</si>
  <si>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</si>
  <si>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</si>
  <si>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</si>
  <si>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</si>
  <si>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</si>
  <si>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</si>
  <si>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</si>
  <si>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</si>
  <si>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</si>
  <si>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</si>
  <si>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</si>
  <si>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</si>
  <si>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</si>
  <si>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</si>
  <si>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</si>
  <si>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</si>
  <si>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</si>
  <si>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</si>
  <si>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</si>
  <si>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</si>
  <si>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</si>
  <si>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</si>
  <si>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</si>
  <si>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</si>
  <si>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</si>
  <si>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</si>
  <si>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</si>
  <si>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</si>
  <si>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</si>
  <si>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</si>
  <si>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</si>
  <si>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</si>
  <si>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</si>
  <si>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</si>
  <si>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</si>
  <si>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</si>
  <si>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</si>
  <si>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</si>
  <si>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</si>
  <si>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</si>
  <si>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</si>
  <si>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</si>
  <si>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</si>
  <si>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</si>
  <si>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</si>
  <si>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</si>
  <si>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</si>
  <si>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</si>
  <si>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</si>
  <si>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</si>
  <si>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</si>
  <si>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</si>
  <si>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</si>
  <si>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</si>
  <si>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</si>
  <si>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</si>
  <si>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</si>
  <si>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</si>
  <si>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</si>
  <si>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</si>
  <si>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</si>
  <si>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</si>
  <si>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</si>
  <si>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</si>
  <si>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</si>
  <si>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</si>
  <si>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</si>
  <si>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</si>
  <si>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</si>
  <si>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</si>
  <si>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</si>
  <si>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</si>
  <si>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</si>
  <si>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</si>
  <si>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</si>
  <si>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</si>
  <si>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</si>
  <si>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</si>
  <si>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</si>
  <si>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</si>
  <si>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</si>
  <si>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</si>
  <si>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</si>
  <si>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</si>
  <si>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</si>
  <si>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</si>
  <si>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</si>
  <si>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</si>
  <si>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</si>
  <si>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</si>
  <si>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</si>
  <si>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</si>
  <si>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</si>
  <si>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</si>
  <si>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</si>
  <si>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</si>
  <si>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</si>
  <si>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</si>
  <si>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</si>
  <si>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</si>
  <si>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</si>
  <si>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</si>
  <si>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</si>
  <si>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</si>
  <si>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</si>
  <si>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</si>
  <si>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</si>
  <si>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</si>
  <si>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</si>
  <si>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</si>
  <si>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</si>
  <si>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</si>
  <si>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</si>
  <si>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</si>
  <si>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</si>
  <si>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</si>
  <si>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</si>
  <si>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</si>
  <si>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</si>
  <si>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</si>
  <si>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</si>
  <si>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</si>
  <si>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</si>
  <si>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</si>
  <si>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</si>
  <si>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</si>
  <si>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</si>
  <si>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</si>
  <si>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</si>
  <si>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</si>
  <si>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</si>
  <si>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</si>
  <si>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</si>
  <si>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</si>
  <si>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</si>
  <si>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</si>
  <si>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</si>
  <si>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</si>
  <si>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</si>
  <si>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</si>
  <si>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</si>
  <si>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</si>
  <si>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</si>
  <si>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</si>
  <si>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</si>
  <si>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</si>
  <si>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</si>
  <si>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</si>
  <si>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</si>
  <si>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</si>
  <si>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</si>
  <si>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</si>
  <si>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</si>
  <si>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</si>
  <si>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</si>
  <si>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</si>
  <si>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</si>
  <si>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</si>
  <si>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</si>
  <si>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</si>
  <si>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</si>
  <si>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</si>
  <si>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</si>
  <si>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</si>
  <si>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</si>
  <si>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</si>
  <si>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</si>
  <si>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</si>
  <si>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</si>
  <si>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</si>
  <si>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</si>
  <si>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</si>
  <si>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</si>
  <si>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</si>
  <si>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</si>
  <si>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</si>
  <si>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</si>
  <si>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</si>
  <si>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</si>
  <si>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</si>
  <si>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</si>
  <si>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</si>
  <si>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</si>
  <si>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</si>
  <si>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</si>
  <si>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</si>
  <si>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</si>
  <si>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</si>
  <si>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</si>
  <si>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</si>
  <si>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</si>
  <si>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</si>
  <si>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</si>
  <si>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</si>
  <si>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</si>
  <si>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</si>
  <si>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</si>
  <si>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</si>
  <si>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</si>
  <si>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</si>
  <si>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</si>
  <si>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</si>
  <si>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</si>
  <si>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</si>
  <si>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</si>
  <si>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</si>
  <si>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</si>
  <si>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</si>
  <si>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</si>
  <si>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</si>
  <si>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</si>
  <si>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</si>
  <si>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</si>
  <si>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</si>
  <si>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</si>
  <si>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</si>
  <si>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</si>
  <si>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</si>
  <si>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</si>
  <si>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</si>
  <si>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</si>
  <si>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</si>
  <si>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</si>
  <si>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</si>
  <si>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</si>
  <si>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</si>
  <si>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</si>
  <si>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</si>
  <si>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</si>
  <si>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</si>
  <si>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</si>
  <si>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</si>
  <si>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</si>
  <si>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</si>
  <si>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</si>
  <si>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</si>
  <si>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</si>
  <si>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</si>
  <si>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</si>
  <si>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</si>
  <si>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</si>
  <si>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</si>
  <si>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</si>
  <si>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</si>
  <si>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</si>
  <si>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</si>
  <si>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</si>
  <si>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</si>
  <si>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</si>
  <si>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</si>
  <si>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</si>
  <si>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</si>
  <si>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</si>
  <si>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</si>
  <si>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</si>
  <si>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</si>
  <si>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</si>
  <si>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</si>
  <si>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</si>
  <si>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</si>
  <si>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</si>
  <si>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</si>
  <si>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</si>
  <si>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</si>
  <si>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</si>
  <si>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</si>
  <si>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</si>
  <si>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</si>
  <si>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</si>
  <si>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</si>
  <si>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</si>
  <si>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</si>
  <si>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</si>
  <si>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</si>
  <si>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</si>
  <si>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</si>
  <si>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</si>
  <si>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</si>
  <si>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</si>
  <si>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</si>
  <si>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</si>
  <si>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</si>
  <si>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</si>
  <si>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</si>
  <si>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</si>
  <si>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</si>
  <si>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</si>
  <si>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</si>
  <si>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</si>
  <si>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</si>
  <si>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</si>
  <si>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</si>
  <si>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</si>
  <si>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</si>
  <si>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</si>
  <si>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</si>
  <si>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</si>
  <si>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</si>
  <si>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</si>
  <si>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</si>
  <si>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</si>
  <si>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</si>
  <si>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</si>
  <si>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</si>
  <si>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</si>
  <si>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</si>
  <si>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</si>
  <si>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</si>
  <si>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</si>
  <si>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</si>
  <si>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</si>
  <si>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</si>
  <si>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</si>
  <si>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</si>
  <si>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</si>
  <si>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</si>
  <si>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</si>
  <si>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</si>
  <si>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</si>
  <si>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</si>
  <si>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</si>
  <si>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</si>
  <si>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</si>
  <si>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</si>
  <si>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</si>
  <si>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</si>
  <si>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</si>
  <si>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</si>
  <si>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</si>
  <si>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</si>
  <si>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</si>
  <si>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</si>
  <si>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</si>
  <si>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</si>
  <si>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</si>
  <si>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</si>
  <si>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</si>
  <si>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</si>
  <si>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</si>
  <si>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</si>
  <si>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</si>
  <si>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</si>
  <si>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</si>
  <si>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</si>
  <si>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</si>
  <si>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</si>
  <si>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</si>
  <si>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</si>
  <si>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</si>
  <si>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</si>
  <si>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</si>
  <si>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</si>
  <si>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</si>
  <si>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</si>
  <si>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</si>
  <si>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</si>
  <si>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</si>
  <si>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</si>
  <si>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</si>
  <si>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</si>
  <si>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</si>
  <si>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</si>
  <si>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</si>
  <si>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</si>
  <si>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</si>
  <si>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</si>
  <si>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</si>
  <si>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</si>
  <si>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</si>
  <si>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</si>
  <si>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</si>
  <si>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</si>
  <si>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</si>
  <si>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</si>
  <si>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</si>
  <si>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</si>
  <si>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</si>
  <si>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</si>
  <si>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</si>
  <si>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</si>
  <si>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</si>
  <si>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</si>
  <si>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</si>
  <si>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</si>
  <si>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</si>
  <si>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</si>
  <si>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</si>
  <si>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</si>
  <si>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</si>
  <si>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</si>
  <si>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</si>
  <si>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</si>
  <si>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</si>
  <si>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</si>
  <si>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</si>
  <si>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</si>
  <si>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</si>
  <si>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</si>
  <si>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</si>
  <si>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</si>
  <si>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</si>
  <si>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</si>
  <si>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</si>
  <si>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</si>
  <si>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</si>
  <si>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</si>
  <si>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</si>
  <si>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</si>
  <si>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</si>
  <si>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</si>
  <si>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</si>
  <si>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</si>
  <si>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</si>
  <si>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</si>
  <si>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</si>
  <si>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</si>
  <si>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</si>
  <si>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</si>
  <si>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</si>
  <si>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</si>
  <si>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</si>
  <si>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</si>
  <si>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</si>
  <si>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</si>
  <si>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</si>
  <si>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</si>
  <si>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</si>
  <si>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</si>
  <si>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</si>
  <si>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</si>
  <si>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</si>
  <si>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</si>
  <si>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</si>
  <si>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</si>
  <si>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</si>
  <si>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</si>
  <si>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</si>
  <si>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</si>
  <si>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</si>
  <si>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</si>
  <si>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</si>
  <si>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</si>
  <si>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</si>
  <si>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</si>
  <si>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</si>
  <si>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</si>
  <si>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</si>
  <si>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</si>
  <si>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</si>
  <si>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</si>
  <si>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</si>
  <si>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</si>
  <si>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</si>
  <si>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</si>
  <si>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</si>
  <si>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</si>
  <si>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</si>
  <si>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</si>
  <si>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</si>
  <si>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</si>
  <si>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</si>
  <si>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</si>
  <si>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</si>
  <si>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</si>
  <si>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</si>
  <si>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</si>
  <si>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</si>
  <si>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</si>
  <si>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</si>
  <si>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</si>
  <si>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</si>
  <si>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</si>
  <si>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</si>
  <si>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</si>
  <si>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</si>
  <si>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</si>
  <si>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</si>
  <si>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</si>
  <si>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</si>
  <si>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</si>
  <si>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</si>
  <si>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</si>
  <si>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</si>
  <si>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</si>
  <si>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</si>
  <si>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</si>
  <si>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</si>
  <si>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</si>
  <si>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</si>
  <si>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</si>
  <si>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</si>
  <si>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</si>
  <si>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</si>
  <si>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</si>
  <si>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</si>
  <si>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</si>
  <si>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</si>
  <si>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</si>
  <si>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</si>
  <si>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</si>
  <si>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</si>
  <si>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</si>
  <si>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</si>
  <si>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</si>
  <si>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</si>
  <si>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</si>
  <si>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</si>
  <si>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</si>
  <si>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</si>
  <si>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</si>
  <si>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</si>
  <si>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</si>
  <si>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</si>
  <si>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</si>
  <si>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</si>
  <si>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</si>
  <si>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</si>
  <si>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</si>
  <si>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</si>
  <si>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</si>
  <si>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</si>
  <si>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</si>
  <si>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</si>
  <si>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</si>
  <si>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</si>
  <si>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</si>
  <si>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</si>
  <si>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</si>
  <si>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</si>
  <si>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</si>
  <si>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</si>
  <si>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</si>
  <si>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</si>
  <si>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</si>
  <si>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</si>
  <si>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</si>
  <si>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</si>
  <si>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</si>
  <si>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</si>
  <si>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</si>
  <si>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</si>
  <si>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</si>
  <si>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</si>
  <si>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</si>
  <si>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</si>
  <si>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</si>
  <si>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</si>
  <si>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</si>
  <si>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</si>
  <si>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</si>
  <si>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</si>
  <si>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</si>
  <si>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</si>
  <si>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</si>
  <si>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</si>
  <si>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</si>
  <si>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</si>
  <si>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</si>
  <si>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</si>
  <si>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</si>
  <si>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</si>
  <si>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</si>
  <si>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</si>
  <si>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</si>
  <si>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</si>
  <si>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</si>
  <si>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</si>
  <si>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</si>
  <si>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</si>
  <si>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</si>
  <si>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</si>
  <si>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</si>
  <si>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</si>
  <si>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</si>
  <si>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</si>
  <si>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</si>
  <si>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</si>
  <si>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</si>
  <si>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</si>
  <si>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</si>
  <si>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</si>
  <si>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</si>
  <si>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</si>
  <si>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</si>
  <si>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</si>
  <si>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</si>
  <si>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</si>
  <si>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</si>
  <si>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</si>
  <si>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</si>
  <si>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</si>
  <si>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</si>
  <si>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</si>
  <si>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</si>
  <si>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</si>
  <si>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</si>
  <si>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</si>
  <si>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</si>
  <si>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</si>
  <si>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</si>
  <si>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</si>
  <si>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</si>
  <si>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</si>
  <si>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</si>
  <si>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</si>
  <si>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</si>
  <si>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</si>
  <si>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</si>
  <si>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</si>
  <si>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</si>
  <si>
    <t>order id</t>
  </si>
  <si>
    <t>Router</t>
  </si>
  <si>
    <t>Charger</t>
  </si>
  <si>
    <t>Air Conditioner</t>
  </si>
  <si>
    <t>Air Cooler</t>
  </si>
  <si>
    <t>Refrigerator</t>
  </si>
  <si>
    <t>Washing Machine</t>
  </si>
  <si>
    <t>Vacuum Cleaner</t>
  </si>
  <si>
    <t>Iron</t>
  </si>
  <si>
    <t>Trimmer</t>
  </si>
  <si>
    <t>Home Theater</t>
  </si>
  <si>
    <t>Smart Light</t>
  </si>
  <si>
    <t>Video Doorbell</t>
  </si>
  <si>
    <t>Computer CPU</t>
  </si>
  <si>
    <t>RAM</t>
  </si>
  <si>
    <t>UPS</t>
  </si>
  <si>
    <t>Set-Top Box</t>
  </si>
  <si>
    <t>Robot Vacuum</t>
  </si>
  <si>
    <t>Toaster</t>
  </si>
  <si>
    <t>Food Processor</t>
  </si>
  <si>
    <t>Coffee Maker</t>
  </si>
  <si>
    <t>Electric Oven</t>
  </si>
  <si>
    <t>Electric Grill</t>
  </si>
  <si>
    <t>Smart Mirror</t>
  </si>
  <si>
    <t>Portable Projector</t>
  </si>
  <si>
    <t>Drone</t>
  </si>
  <si>
    <t>Power Adapter</t>
  </si>
  <si>
    <t>Cooling Pad</t>
  </si>
  <si>
    <t>Docking Station</t>
  </si>
  <si>
    <t>Graphics Tablet</t>
  </si>
  <si>
    <t>POS Machine</t>
  </si>
  <si>
    <t>Baby Monitor</t>
  </si>
  <si>
    <t>Car Bluetooth Adapter</t>
  </si>
  <si>
    <t>₹4,500</t>
  </si>
  <si>
    <t>₹5,000</t>
  </si>
  <si>
    <t>₹4,000</t>
  </si>
  <si>
    <t>Total Sales</t>
  </si>
  <si>
    <t>Total sum</t>
  </si>
  <si>
    <t xml:space="preserve"> Quantity</t>
  </si>
  <si>
    <t>Total orders</t>
  </si>
  <si>
    <t>Average sales</t>
  </si>
  <si>
    <t>Average profit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</si>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</sst>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5" fillId="6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 inden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79.418936111113" createdVersion="4" refreshedVersion="4" minRefreshableVersion="3" recordCount="99">
  <cacheSource type="worksheet">
    <worksheetSource ref="A1:K100" sheet="Sheet6"/>
  </cacheSource>
  <cacheFields count="11">
    <cacheField name="order id" numFmtId="0">
      <sharedItems containsSemiMixedTypes="0" containsString="0" containsNumber="1" containsInteger="1" minValue="101" maxValue="199"/>
    </cacheField>
    <cacheField name="product" numFmtId="0">
      <sharedItems/>
    </cacheField>
    <cacheField name="sales" numFmtId="0">
      <sharedItems containsSemiMixedTypes="0" containsString="0" containsNumber="1" containsInteger="1" minValue="42000" maxValue="1200000"/>
    </cacheField>
    <cacheField name="profit" numFmtId="0">
      <sharedItems/>
    </cacheField>
    <cacheField name="Quantity" numFmtId="0">
      <sharedItems containsSemiMixedTypes="0" containsString="0" containsNumber="1" containsInteger="1" minValue="2" maxValue="10"/>
    </cacheField>
    <cacheField name="Total Sales" numFmtId="0">
      <sharedItems containsSemiMixedTypes="0" containsString="0" containsNumber="1" containsInteger="1" minValue="84000" maxValue="4800000"/>
    </cacheField>
    <cacheField name="Total sum" numFmtId="0">
      <sharedItems containsString="0" containsBlank="1" containsNumber="1" containsInteger="1" minValue="62166000" maxValue="62166000"/>
    </cacheField>
    <cacheField name=" Quantity" numFmtId="0">
      <sharedItems containsSemiMixedTypes="0" containsString="0" containsNumber="1" containsInteger="1" minValue="10" maxValue="34"/>
    </cacheField>
    <cacheField name="Total orders" numFmtId="0">
      <sharedItems containsSemiMixedTypes="0" containsString="0" containsNumber="1" containsInteger="1" minValue="1" maxValue="5"/>
    </cacheField>
    <cacheField name="Average sales" numFmtId="0">
      <sharedItems containsSemiMixedTypes="0" containsString="0" containsNumber="1" minValue="55000" maxValue="700000"/>
    </cacheField>
    <cacheField name="Average profi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79.43564236111" createdVersion="4" refreshedVersion="4" minRefreshableVersion="3" recordCount="301">
  <cacheSource type="worksheet">
    <worksheetSource ref="A1:K302" sheet="Sheet5"/>
  </cacheSource>
  <cacheFields count="11">
    <cacheField name="0rder id" numFmtId="0">
      <sharedItems/>
    </cacheField>
    <cacheField name="order Date" numFmtId="0">
      <sharedItems containsDate="1" containsBlank="1" containsMixedTypes="1" minDate="2026-01-01T00:00:00" maxDate="2026-12-11T00:00:00"/>
    </cacheField>
    <cacheField name="customer Name" numFmtId="0">
      <sharedItems/>
    </cacheField>
    <cacheField name="city/state" numFmtId="0">
      <sharedItems count="284">
        <s v="Patna , Bihar"/>
        <s v="Gaya , Bihar"/>
        <s v="Delhi , Delhi"/>
        <s v="Ranchi , Jharkhand"/>
        <s v="Mumbai , Maharashtra"/>
        <s v="Pune , Maharashtra"/>
        <s v="Nagpur , Maharashtra"/>
        <s v="Jamshedpur , Jharkhand"/>
        <s v="Dhanbad , Jharkhand"/>
        <s v="Bokaro , Jharkhand"/>
        <s v="Nawada , Bihar"/>
        <s v="Noida , Uttar Pradesh"/>
        <s v="Lucknow, Uttar Pradesh"/>
        <s v="Kanpur , Uttar Pradesh"/>
        <s v="Jaipur , Rajasthan"/>
        <s v="Kota , Rajasthan"/>
        <s v="Gaya, Bihar"/>
        <s v="Nawada, Bihar"/>
        <s v="Bhagalpur, Bihar"/>
        <s v="Muzaffarpur, Bihar"/>
        <s v="Darbhanga, Bihar"/>
        <s v="Purnia, Bihar"/>
        <s v="Begusarai, Bihar"/>
        <s v="Ara, Bihar"/>
        <s v="Ranchi, Jharkhand"/>
        <s v="Jamshedpur, Jharkhand"/>
        <s v="Dhanbad, Jharkhand"/>
        <s v="Bokaro, Jharkhand"/>
        <s v="Deoghar, Jharkhand"/>
        <s v="Kolkata, West Bengal"/>
        <s v="Siliguri, West Bengal"/>
        <s v="Asansol, West Bengal"/>
        <s v="Durgapur, West Bengal"/>
        <s v="Kanpur, Uttar Pradesh"/>
        <s v="Varanasi, Uttar Pradesh"/>
        <s v="Prayagraj, Uttar Pradesh"/>
        <s v="Agra, Uttar Pradesh"/>
        <s v="Noida, Uttar Pradesh"/>
        <s v="Ghaziabad, Uttar Pradesh"/>
        <s v="Gorakhpur, Uttar Pradesh"/>
        <s v="Meerut, Uttar Pradesh"/>
        <s v="Bareilly, Uttar Pradesh"/>
        <s v="Jaipur, Rajasthan"/>
        <s v="Jodhpur, Rajasthan"/>
        <s v="Kota, Rajasthan"/>
        <s v="Udaipur, Rajasthan"/>
        <s v="Ajmer, Rajasthan"/>
        <s v="Mumbai, Maharashtra"/>
        <s v="Pune, Maharashtra"/>
        <s v="Nagpur, Maharashtra"/>
        <s v="Nashik, Maharashtra"/>
        <s v="Thane, Maharashtra"/>
        <s v="Aurangabad, Maharashtra"/>
        <s v="Ahmedabad, Gujarat"/>
        <s v="Surat, Gujarat"/>
        <s v="Vadodara, Gujarat"/>
        <s v="Rajkot, Gujarat"/>
        <s v="Gandhinagar, Gujarat"/>
        <s v="Bengaluru, Karnataka"/>
        <s v="Mysore, Karnataka"/>
        <s v="Mangalore, Karnataka"/>
        <s v="Hubli, Karnataka"/>
        <s v="Belagavi, Karnataka"/>
        <s v="Chennai, Tamil Nadu"/>
        <s v="Coimbatore, Tamil Nadu"/>
        <s v="Madurai, Tamil Nadu"/>
        <s v="Salem, Tamil Nadu"/>
        <s v="Vellore, Tamil Nadu"/>
        <s v="Hyderabad, Telangana"/>
        <s v="Warangal, Telangana"/>
        <s v="Visakhapatnam, Andhra Pradesh"/>
        <s v="Vijayawada, Andhra Pradesh"/>
        <s v="Tirupati, Andhra Pradesh"/>
        <s v="Guntur, Andhra Pradesh"/>
        <s v="Bhubaneswar, Odisha"/>
        <s v="Cuttack, Odisha"/>
        <s v="Rourkela, Odisha"/>
        <s v="Chandigarh, Chandigarh"/>
        <s v="Amritsar, Punjab"/>
        <s v="Ludhiana, Punjab"/>
        <s v="Jalandhar, Punjab"/>
        <s v="Patiala, Punjab"/>
        <s v="Dehradun, Uttarakhand"/>
        <s v="Haridwar, Uttarakhand"/>
        <s v="Rishikesh, Uttarakhand"/>
        <s v="Shimla, Himachal Pradesh"/>
        <s v="Dharamshala, Himachal Pradesh"/>
        <s v="Jammu, Jammu &amp; Kashmir"/>
        <s v="Srinagar, Jammu &amp; Kashmir"/>
        <s v="Bhopal, Madhya Pradesh"/>
        <s v="Indore, Madhya Pradesh"/>
        <s v="Gwalior, Madhya Pradesh"/>
        <s v="Jabalpur, Madhya Pradesh"/>
        <s v="Raipur, Chhattisgarh"/>
        <s v="Bilaspur, Chhattisgarh"/>
        <s v="Panaji, Goa"/>
        <s v="Kochi, Kerala"/>
        <s v="Thiruvananthapuram, Kerala"/>
        <s v="Kozhikode, Kerala"/>
        <s v="Guwahati, Assam"/>
        <s v="Shillong, Meghalaya"/>
        <s v="Agartala, Tripura"/>
        <s v="Imphal, Manipur"/>
        <s v="Aizawl, Mizoram"/>
        <s v="Gangtok, Sikkim"/>
        <s v="Itanagar, Arunachal Pradesh"/>
        <s v="Kohima, Nagaland"/>
        <s v="Nellore, Andhra Pradesh"/>
        <s v="Mathura, Uttar Pradesh"/>
        <s v="Aligarh, Uttar Pradesh"/>
        <s v="Chapra, Bihar"/>
        <s v="Katihar, Bihar"/>
        <s v="Sasaram, Bihar"/>
        <s v="Motihari, Bihar"/>
        <s v="Bettiah, Bihar"/>
        <s v="Samastipur, Bihar"/>
        <s v="Munger, Bihar"/>
        <s v="Hajipur, Bihar"/>
        <s v="Bihar Sharif, Bihar"/>
        <s v="Jehanabad, Bihar"/>
        <s v="Koderma, Jharkhand"/>
        <s v="Hazaribagh, Jharkhand"/>
        <s v="Giridih, Jharkhand"/>
        <s v="Ramgarh, Jharkhand"/>
        <s v="Chaibasa, Jharkhand"/>
        <s v="Kharagpur, West Bengal"/>
        <s v="Howrah, West Bengal"/>
        <s v="Malda, West Bengal"/>
        <s v="Bardhaman, West Bengal"/>
        <s v="Jalpaiguri, West Bengal"/>
        <s v="Ayodhya, Uttar Pradesh"/>
        <s v="Moradabad, Uttar Pradesh"/>
        <s v="Saharanpur, Uttar Pradesh"/>
        <s v="Jhansi, Uttar Pradesh"/>
        <s v="Firozabad, Uttar Pradesh"/>
        <s v="Sultanpur, Uttar Pradesh"/>
        <s v="Basti, Uttar Pradesh"/>
        <s v="Azamgarh, Uttar Pradesh"/>
        <s v="Mirzapur, Uttar Pradesh"/>
        <s v="Bikaner, Rajasthan"/>
        <s v="Alwar, Rajasthan"/>
        <s v="Bharatpur, Rajasthan"/>
        <s v="Sikar, Rajasthan"/>
        <s v="Bhilwara, Rajasthan"/>
        <s v="Kolhapur, Maharashtra"/>
        <s v="Solapur, Maharashtra"/>
        <s v="Nanded, Maharashtra"/>
        <s v="Amravati, Maharashtra"/>
        <s v="Satara, Maharashtra"/>
        <s v="Bhavnagar, Gujarat"/>
        <s v="Jamnagar, Gujarat"/>
        <s v="Junagadh, Gujarat"/>
        <s v="Anand, Gujarat"/>
        <s v="Bharuch, Gujarat"/>
        <s v="Mysuru, Karnataka"/>
        <s v="Ballari, Karnataka"/>
        <s v="Tumakuru, Karnataka"/>
        <s v="Davangere, Karnataka"/>
        <s v="Shivamogga, Karnataka"/>
        <s v="Tiruppur, Tamil Nadu"/>
        <s v="Erode, Tamil Nadu"/>
        <s v="Thoothukudi, Tamil Nadu"/>
        <s v="Thanjavur, Tamil Nadu"/>
        <s v="Dindigul, Tamil Nadu"/>
        <s v="Karimnagar, Telangana"/>
        <s v="Nizamabad, Telangana"/>
        <s v="Khammam, Telangana"/>
        <s v="Suryapet, Telangana"/>
        <s v="Adilabad, Telangana"/>
        <s v="Kakinada, Andhra Pradesh"/>
        <s v="Rajahmundry, Andhra Pradesh"/>
        <s v="Kurnool, Andhra Pradesh"/>
        <s v="Kadapa, Andhra Pradesh"/>
        <s v="Anantapur, Andhra Pradesh"/>
        <s v="Sambalpur, Odisha"/>
        <s v="Berhampur, Odisha"/>
        <s v="Balasore, Odisha"/>
        <s v="Baripada, Odisha"/>
        <s v="Jharsuguda, Odisha"/>
        <s v="Bathinda, Punjab"/>
        <s v="Mohali, Punjab"/>
        <s v="Hoshiarpur, Punjab"/>
        <s v="Pathankot, Punjab"/>
        <s v="Moga, Punjab"/>
        <s v="Rohtak, Haryana"/>
        <s v="Hisar, Haryana"/>
        <s v="Panipat, Haryana"/>
        <s v="Sonipat, Haryana"/>
        <s v="Karnal, Haryana"/>
        <s v="Faridabad, Haryana"/>
        <s v="Gurugram, Haryana"/>
        <s v="Ambala, Haryana"/>
        <s v="Yamunanagar, Haryana"/>
        <s v="Panchkula, Haryana"/>
        <s v="Rampur, Uttar Pradesh"/>
        <s v="Shahjahanpur, Uttar Pradesh"/>
        <s v="Etawah, Uttar Pradesh"/>
        <s v="Unnao, Uttar Pradesh"/>
        <s v="Rewa, Madhya Pradesh"/>
        <s v="Satna, Madhya Pradesh"/>
        <s v="Sagar, Madhya Pradesh"/>
        <s v="Ujjain, Madhya Pradesh"/>
        <s v="Dewas, Madhya Pradesh"/>
        <s v="Saharsa, Bihar"/>
        <s v="Madhepura, Bihar"/>
        <s v="Supaul, Bihar"/>
        <s v="Araria, Bihar"/>
        <s v="Kishanganj, Bihar"/>
        <s v="Buxar, Bihar"/>
        <s v="Bhabua, Bihar"/>
        <s v="Jamui, Bihar"/>
        <s v="Lakhisarai, Bihar"/>
        <s v="Sheikhpura, Bihar"/>
        <s v="Dumka, Jharkhand"/>
        <s v="Gumla, Jharkhand"/>
        <s v="Lohardaga, Jharkhand"/>
        <s v="Palamu, Jharkhand"/>
        <s v="Garhwa, Jharkhand"/>
        <s v="Purulia, West Bengal"/>
        <s v="Bankura, West Bengal"/>
        <s v="Darjeeling, West Bengal"/>
        <s v="Krishnanagar, West Bengal"/>
        <s v="Barrackpore, West Bengal"/>
        <s v="Fatehpur, Uttar Pradesh"/>
        <s v="Hapur, Uttar Pradesh"/>
        <s v="Lalitpur, Uttar Pradesh"/>
        <s v="Mainpuri, Uttar Pradesh"/>
        <s v="Rae Bareli, Uttar Pradesh"/>
        <s v="Sitapur, Uttar Pradesh"/>
        <s v="Lakhimpur, Uttar Pradesh"/>
        <s v="Bahraich, Uttar Pradesh"/>
        <s v="Barabanki, Uttar Pradesh"/>
        <s v="Mau, Uttar Pradesh"/>
        <s v="Chittorgarh, Rajasthan"/>
        <s v="Sri Ganganagar, Rajasthan"/>
        <s v="Hanumangarh, Rajasthan"/>
        <s v="Tonk, Rajasthan"/>
        <s v="Dausa, Rajasthan"/>
        <s v="Latur, Maharashtra"/>
        <s v="Akola, Maharashtra"/>
        <s v="Jalgaon, Maharashtra"/>
        <s v="Dhule, Maharashtra"/>
        <s v="Sangli, Maharashtra"/>
        <s v="Mehsana, Gujarat"/>
        <s v="Morbi, Gujarat"/>
        <s v="Palanpur, Gujarat"/>
        <s v="Navsari, Gujarat"/>
        <s v="Vapi, Gujarat"/>
        <s v="Udupi, Karnataka"/>
        <s v="Hassan, Karnataka"/>
        <s v="Mandya, Karnataka"/>
        <s v="Raichur, Karnataka"/>
        <s v="Kolar, Karnataka"/>
        <s v="Karur, Tamil Nadu"/>
        <s v="Namakkal, Tamil Nadu"/>
        <s v="Cuddalore, Tamil Nadu"/>
        <s v="Kanchipuram, Tamil Nadu"/>
        <s v="Sivakasi, Tamil Nadu"/>
        <s v="Mahbubnagar, Telangana"/>
        <s v="Mancherial, Telangana"/>
        <s v="Jagtial, Telangana"/>
        <s v="Siddipet, Telangana"/>
        <s v="Vikarabad, Telangana"/>
        <s v="Machilipatnam, Andhra Pradesh"/>
        <s v="Chittoor, Andhra Pradesh"/>
        <s v="Ongole, Andhra Pradesh"/>
        <s v="Eluru, Andhra Pradesh"/>
        <s v="Srikakulam, Andhra Pradesh"/>
        <s v="Puri, Odisha"/>
        <s v="Dhenkanal, Odisha"/>
        <s v="Angul, Odisha"/>
        <s v="Koraput, Odisha"/>
        <s v="Rayagada, Odisha"/>
        <s v="Kapurthala, Punjab"/>
        <s v="Fazilka, Punjab"/>
        <s v="Abohar, Punjab"/>
        <s v="Gurdaspur, Punjab"/>
        <s v="Malerkotla, Punjab"/>
        <s v="Rewari, Haryana"/>
        <s v="Bhiwani, Haryana"/>
        <s v="Sirsa, Haryana"/>
        <s v="Fatehabad, Haryana"/>
        <s v="Kaithal, Haryana"/>
        <s v="Solan, Himachal Pradesh"/>
      </sharedItems>
    </cacheField>
    <cacheField name="product" numFmtId="0">
      <sharedItems count="282">
        <s v="Laptop"/>
        <s v="Smartphone"/>
        <s v="Tablet"/>
        <s v="Desktop Computer"/>
        <s v="Monitor"/>
        <s v="Keyboard"/>
        <s v="Mouse"/>
        <s v="Headphones"/>
        <s v="Earbuds"/>
        <s v="Bluetooth Speaker"/>
        <s v="Smartwatch"/>
        <s v="Power Bank"/>
        <s v="USB Flash Drive"/>
        <s v="External Hard Drive"/>
        <s v="SSD"/>
        <s v="Printer"/>
        <s v="Wi-Fi Router"/>
        <s v="Webcam"/>
        <s v="Computer Speakers"/>
        <s v="Projector"/>
        <s v="Television"/>
        <s v="Soundbar"/>
        <s v="Gaming Console"/>
        <s v="Graphics Card"/>
        <s v="Computer RAM"/>
        <s v="Laptop Charger"/>
        <s v="Mobile Charger"/>
        <s v="HDMI Cable"/>
        <s v="USB Cable"/>
        <s v="Gaming Laptop"/>
        <s v="Business Laptop"/>
        <s v="Ultrabook"/>
        <s v="Chromebook"/>
        <s v="2-in-1 Laptop"/>
        <s v="MacBook"/>
        <s v="All-in-One PC"/>
        <s v="Mini PC"/>
        <s v="Gaming PC"/>
        <s v="Workstation"/>
        <s v="Drawing Tablet"/>
        <s v="E-Reader"/>
        <s v="Feature Phone"/>
        <s v="Foldable Smartphone"/>
        <s v="Fitness Band"/>
        <s v="Smart Ring"/>
        <s v="Computer Monitor"/>
        <s v="Gaming Monitor"/>
        <s v="Curved Monitor"/>
        <s v="4K Monitor"/>
        <s v="Portable Monitor"/>
        <s v="LED Monitor"/>
        <s v="Mechanical Keyboard"/>
        <s v="Wireless Keyboard"/>
        <s v="Wireless Mouse"/>
        <s v="Gaming Keyboard"/>
        <s v="Gaming Mouse"/>
        <s v="Ergonomic Mouse"/>
        <s v="Trackball Mouse"/>
        <s v="Mouse Pad"/>
        <s v="Gaming Mouse Pad"/>
        <s v="Laptop Stand"/>
        <s v="Laptop Cooling Pad"/>
        <s v="Laptop Bag"/>
        <s v="Laptop Sleeve"/>
        <s v="Laptop Docking Station"/>
        <s v="USB Hub"/>
        <s v="USB-C Hub"/>
        <s v="Thunderbolt Dock"/>
        <s v="USB Adapter"/>
        <s v="Bluetooth Adapter"/>
        <s v="Wi-Fi Adapter"/>
        <s v="Ethernet Adapter"/>
        <s v="Network Switch"/>
        <s v="Wi-Fi Extender"/>
        <s v="Mesh Wi-Fi System"/>
        <s v="5G Router"/>
        <s v="4G Router"/>
        <s v="Broadband Router"/>
        <s v="Modem"/>
        <s v="Ethernet Cable"/>
        <s v="Cat6 Cable"/>
        <s v="Cat7 Cable"/>
        <s v="HDMI Adapter"/>
        <s v="DisplayPort Cable"/>
        <s v="VGA Cable"/>
        <s v="USB-C Cable"/>
        <s v="Lightning Cable"/>
        <s v="Micro USB Cable"/>
        <s v="USB-C Charger"/>
        <s v="Fast Charger"/>
        <s v="Wireless Charger"/>
        <s v="Car Charger"/>
        <s v="GaN Charger"/>
        <s v="Multi-Port Charger"/>
        <s v="Solar Power Bank"/>
        <s v="Laptop Power Bank"/>
        <s v="Surge Protector"/>
        <s v="Extension Board"/>
        <s v="Smart Plug"/>
        <s v="Smart Switch"/>
        <s v="Smart Bulb"/>
        <s v="LED Bulb"/>
        <s v="LED Tube Light"/>
        <s v="Smart LED Strip"/>
        <s v="LED Desk Lamp"/>
        <s v="Emergency Light"/>
        <s v="Rechargeable Torch"/>
        <s v="Electric Lantern"/>
        <s v="Portable Speaker"/>
        <s v="Party Speaker"/>
        <s v="Smart Speaker"/>
        <s v="Home Theater System"/>
        <s v="Stereo Speaker"/>
        <s v="Computer Speaker"/>
        <s v="Bookshelf Speaker"/>
        <s v="Subwoofer"/>
        <s v="Amplifier"/>
        <s v="AV Receiver"/>
        <s v="Bluetooth Headphones"/>
        <s v="Wireless Headphones"/>
        <s v="Wired Headphones"/>
        <s v="Gaming Headset"/>
        <s v="Noise Cancelling Headphones"/>
        <s v="Wireless Earbuds"/>
        <s v="Gaming Earbuds"/>
        <s v="Neckband Earphones"/>
        <s v="Wired Earphones"/>
        <s v="Studio Headphones"/>
        <s v="Microphone"/>
        <s v="USB Microphone"/>
        <s v="Wireless Microphone"/>
        <s v="Lavalier Microphone"/>
        <s v="Condenser Microphone"/>
        <s v="4K Webcam"/>
        <s v="Security Camera"/>
        <s v="CCTV Camera"/>
        <s v="IP Camera"/>
        <s v="PTZ Camera"/>
        <s v="Doorbell Camera"/>
        <s v="Dash Camera"/>
        <s v="Digital Camera"/>
        <s v="Action Camera"/>
        <s v="Mirrorless Camera"/>
        <s v="DSLR Camera"/>
        <s v="Camcorder"/>
        <s v="Camera Lens"/>
        <s v="Camera Flash"/>
        <s v="Tripod"/>
        <s v="Gimbal Stabilizer"/>
        <s v="Memory Card"/>
        <s v="SD Card"/>
        <s v="MicroSD Card"/>
        <s v="Portable SSD"/>
        <s v="Internal SSD"/>
        <s v="Internal Hard Drive"/>
        <s v="Laptop RAM"/>
        <s v="Motherboard"/>
        <s v="Computer Processor"/>
        <s v="CPU Cooler"/>
        <s v="Power Supply Unit"/>
        <s v="PC Cabinet"/>
        <s v="Gaming Chair"/>
        <s v="Gaming Controller"/>
        <s v="VR Headset"/>
        <s v="Gaming Steering Wheel"/>
        <s v="Gaming Joystick"/>
        <s v="Gamepad"/>
        <s v="Portable Gaming Console"/>
        <s v="Smart TV"/>
        <s v="LED TV"/>
        <s v="OLED TV"/>
        <s v="QLED TV"/>
        <s v="4K TV"/>
        <s v="8K TV"/>
        <s v="Android TV Box"/>
        <s v="Smart TV Stick"/>
        <s v="Streaming Device"/>
        <s v="Blu-ray Player"/>
        <s v="DVD Player"/>
        <s v="Mini Projector"/>
        <s v="4K Projector"/>
        <s v="Projector Screen"/>
        <s v="Laser Projector"/>
        <s v="Digital Photo Frame"/>
        <s v="Smart Display"/>
        <s v="Digital Alarm Clock"/>
        <s v="Smart Alarm Clock"/>
        <s v="Digital Voice Recorder"/>
        <s v="Electronic Calculator"/>
        <s v="Barcode Scanner"/>
        <s v="Wireless Power Bank"/>
        <s v="Smart Band"/>
        <s v="Smart Ring Charger"/>
        <s v="Laptop Screen Protector"/>
        <s v="Laptop Keyboard Cover"/>
        <s v="Laptop Webcam Cover"/>
        <s v="Laptop Privacy Filter"/>
        <s v="Laptop Replacement Battery"/>
        <s v="Laptop Replacement Screen"/>
        <s v="Laptop Hinges"/>
        <s v="Laptop Motherboard"/>
        <s v="Laptop Fan"/>
        <s v="Laptop Thermal Paste"/>
        <s v="Laptop Adapter"/>
        <s v="Desktop Power Cable"/>
        <s v="Monitor Stand"/>
        <s v="Monitor Arm"/>
        <s v="Monitor Wall Mount"/>
        <s v="Keyboard Wrist Rest"/>
        <s v="Mouse Bungee"/>
        <s v="USB Sound Card"/>
        <s v="External Sound Card"/>
        <s v="USB Bluetooth Speaker Adapter"/>
        <s v="USB Wi-Fi Dongle"/>
        <s v="USB Card Reader"/>
        <s v="Multi Card Reader"/>
        <s v="USB OTG Adapter"/>
        <s v="USB Type-C Converter"/>
        <s v="HDMI Splitter"/>
        <s v="HDMI Switch"/>
        <s v="HDMI Extender"/>
        <s v="DisplayPort Adapter"/>
        <s v="DVI Cable"/>
        <s v="DVI Adapter"/>
        <s v="Audio Cable"/>
        <s v="AUX Cable"/>
        <s v="Optical Audio Cable"/>
        <s v="RCA Cable"/>
        <s v="Speaker Cable"/>
        <s v="Coaxial Cable"/>
        <s v="Fiber Optic Cable"/>
        <s v="PoE Adapter"/>
        <s v="PoE Switch"/>
        <s v="Network Access Point"/>
        <s v="Wi-Fi Repeater"/>
        <s v="Bluetooth Transmitter"/>
        <s v="Bluetooth Receiver"/>
        <s v="Smart Home Hub"/>
        <s v="Smart Door Lock"/>
        <s v="Smart Door Sensor"/>
        <s v="Smart Motion Sensor"/>
        <s v="Smart Temperature Sensor"/>
        <s v="Smart Smoke Detector"/>
        <s v="Smart Air Purifier"/>
        <s v="Smart Fan"/>
        <s v="Smart AC Controller"/>
        <s v="Smart IR Remote"/>
        <s v="Smart Light Switch"/>
        <s v="Smart Night Light"/>
        <s v="USB Desk Fan"/>
        <s v="Rechargeable Fan"/>
        <s v="Electric Mosquito Killer"/>
        <s v="Digital Weighing Scale"/>
        <s v="Smart Body Scale"/>
        <s v="Electric Toothbrush"/>
        <s v="Electric Shaver"/>
        <s v="Hair Trimmer"/>
        <s v="Hair Dryer"/>
        <s v="Electric Kettle"/>
        <s v="Induction Cooktop"/>
        <s v="Electric Rice Cooker"/>
        <s v="Microwave Oven"/>
        <s v="Air Fryer"/>
        <s v="Sandwich Maker"/>
        <s v="Electric Coffee Maker"/>
        <s v="Juicer"/>
        <s v="Mixer Grinder"/>
        <s v="Hand Blender"/>
        <s v="Electric Chopper"/>
        <s v="Water Purifier"/>
        <s v="Electric Iron"/>
        <s v="Robot Vacuum Cleaner"/>
        <s v="Cordless Vacuum Cleaner"/>
        <s v="Air Purifier"/>
        <s v="Dehumidifier"/>
        <s v="Humidifier"/>
        <s v="Electric Heater"/>
        <s v="Room Cooler"/>
        <s v="Smart Refrigerator"/>
        <s v="Smart Washing Machine"/>
        <s v="Smart Dishwasher"/>
        <s v="Smart Oven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unt="99">
        <s v="₹8,50,000"/>
        <s v="₹12,00,000"/>
        <s v="₹4,20,000"/>
        <s v="₹6,80,000"/>
        <s v="₹3,50,000"/>
        <s v="₹1,20,000"/>
        <s v="₹95,000"/>
        <s v="₹2,10,000"/>
        <s v="₹3,80,000"/>
        <s v="₹2,40,000"/>
        <s v="₹3,20,000"/>
        <s v="₹1,50,000"/>
        <s v="₹75,000"/>
        <s v="₹1,80,000"/>
        <s v="₹2,60,000"/>
        <s v="₹2,90,000"/>
        <s v="₹1,70,000"/>
        <s v="₹1,10,000"/>
        <s v="₹85,000"/>
        <s v="₹2,50,000"/>
        <s v="₹7,50,000"/>
        <s v="₹2,20,000"/>
        <s v="₹4,50,000"/>
        <s v="₹3,60,000"/>
        <s v="₹1,40,000"/>
        <s v="₹70,000"/>
        <s v="₹90,000"/>
        <s v="₹45,000"/>
        <s v="₹55,000"/>
        <s v="₹42,000"/>
        <s v="₹68,000"/>
        <s v="₹60,000"/>
        <s v="₹1,35,000"/>
        <s v="₹88,000"/>
        <s v="₹52,000"/>
        <s v="₹65,000"/>
        <s v="₹78,000"/>
        <s v="₹1,05,000"/>
        <s v="₹48,000"/>
        <s v="₹92,000"/>
        <s v="₹1,25,000"/>
        <s v="₹56,000"/>
        <s v="₹72,000"/>
        <s v="₹1,15,000"/>
        <s v="₹83,000"/>
        <s v="₹47,000"/>
        <s v="₹1,30,000"/>
        <s v="₹69,000"/>
        <s v="₹98,000"/>
        <s v="₹54,000"/>
        <s v="₹1,45,000"/>
        <s v="₹76,000"/>
        <s v="₹63,000"/>
        <s v="₹89,000"/>
        <s v="₹1,18,000"/>
        <s v="₹44,000"/>
        <s v="₹57,000"/>
        <s v="₹1,32,000"/>
        <s v="₹81,000"/>
        <s v="₹66,000"/>
        <s v="₹1,08,000"/>
        <s v="₹73,000"/>
        <s v="₹49,000"/>
        <s v="₹1,22,000"/>
        <s v="₹86,000"/>
        <s v="₹59,000"/>
        <s v="₹97,000"/>
        <s v="₹1,38,000"/>
        <s v="₹71,000"/>
        <s v="₹53,000"/>
        <s v="₹1,12,000"/>
        <s v="₹79,000"/>
        <s v="₹64,000"/>
        <s v="₹1,28,000"/>
        <s v="₹91,000"/>
        <s v="₹46,000"/>
        <s v="₹1,42,000"/>
        <s v="₹84,000"/>
        <s v="₹1,16,000"/>
        <s v="₹74,000"/>
        <s v="₹1,34,000"/>
        <s v="₹82,000"/>
        <s v="₹61,000"/>
        <s v="₹99,000"/>
        <s v="₹1,24,000"/>
        <s v="₹43,000"/>
        <s v="₹58,000"/>
        <s v="₹77,000"/>
        <s v="₹67,000"/>
        <s v="₹1,36,000"/>
        <s v="₹93,000"/>
        <s v="₹51,000"/>
        <s v="₹87,000"/>
        <s v="₹62,000"/>
        <s v="₹1,44,000"/>
        <s v="₹94,000"/>
        <s v="₹1,26,000"/>
        <s v="₹96,000"/>
        <s v="₹50,000"/>
      </sharedItems>
    </cacheField>
    <cacheField name="Discount" numFmtId="9">
      <sharedItems containsSemiMixedTypes="0" containsString="0" containsNumber="1" minValue="0.05" maxValue="0.15"/>
    </cacheField>
    <cacheField name="profit" numFmtId="0">
      <sharedItems containsMixedTypes="1" containsNumber="1" containsInteger="1" minValue="20000" maxValue="20000"/>
    </cacheField>
    <cacheField name="payment 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n v="101"/>
    <s v="Smartphone"/>
    <n v="95000"/>
    <s v="₹7,500"/>
    <n v="5"/>
    <n v="475000"/>
    <n v="62166000"/>
    <n v="20"/>
    <n v="5"/>
    <n v="649000"/>
    <m/>
  </r>
  <r>
    <n v="102"/>
    <s v="Laptop"/>
    <n v="850000"/>
    <s v="₹7,000"/>
    <n v="3"/>
    <n v="2550000"/>
    <m/>
    <n v="23"/>
    <n v="5"/>
    <n v="700000"/>
    <m/>
  </r>
  <r>
    <n v="103"/>
    <s v="Tablet"/>
    <n v="1200000"/>
    <s v="₹6,500"/>
    <n v="4"/>
    <n v="4800000"/>
    <m/>
    <n v="27"/>
    <n v="5"/>
    <n v="554000"/>
    <m/>
  </r>
  <r>
    <n v="104"/>
    <s v="Smartwatch"/>
    <n v="420000"/>
    <s v="₹8,000"/>
    <n v="6"/>
    <n v="2520000"/>
    <m/>
    <n v="27"/>
    <n v="5"/>
    <n v="333000"/>
    <m/>
  </r>
  <r>
    <n v="105"/>
    <s v="Smart TV"/>
    <n v="680000"/>
    <s v="₹4,500"/>
    <n v="2"/>
    <n v="1360000"/>
    <m/>
    <n v="30"/>
    <n v="5"/>
    <n v="291000"/>
    <m/>
  </r>
  <r>
    <n v="106"/>
    <s v="Headphones"/>
    <n v="350000"/>
    <s v="₹9,000"/>
    <n v="8"/>
    <n v="2800000"/>
    <m/>
    <n v="34"/>
    <n v="5"/>
    <n v="231000"/>
    <m/>
  </r>
  <r>
    <n v="107"/>
    <s v="Bluetooth Speaker"/>
    <n v="120000"/>
    <s v="₹5,000"/>
    <n v="7"/>
    <n v="840000"/>
    <m/>
    <n v="29"/>
    <n v="5"/>
    <n v="209000"/>
    <m/>
  </r>
  <r>
    <n v="108"/>
    <s v="Wireless Earbuds"/>
    <n v="95000"/>
    <s v="₹7,500"/>
    <n v="4"/>
    <n v="380000"/>
    <m/>
    <n v="27"/>
    <n v="5"/>
    <n v="249000"/>
    <m/>
  </r>
  <r>
    <n v="109"/>
    <s v="Keyboard"/>
    <n v="210000"/>
    <s v="₹6,000"/>
    <n v="9"/>
    <n v="1890000"/>
    <m/>
    <n v="25"/>
    <n v="5"/>
    <n v="260000"/>
    <m/>
  </r>
  <r>
    <n v="110"/>
    <s v="Mouse"/>
    <n v="380000"/>
    <s v="₹8,500"/>
    <n v="6"/>
    <n v="2280000"/>
    <m/>
    <n v="23"/>
    <n v="5"/>
    <n v="227000"/>
    <m/>
  </r>
  <r>
    <n v="111"/>
    <s v="Monitor"/>
    <n v="240000"/>
    <s v="₹4,000"/>
    <n v="3"/>
    <n v="720000"/>
    <m/>
    <n v="21"/>
    <n v="5"/>
    <n v="162000"/>
    <m/>
  </r>
  <r>
    <n v="112"/>
    <s v="Printer"/>
    <n v="320000"/>
    <s v="₹6,500"/>
    <n v="5"/>
    <n v="1600000"/>
    <m/>
    <n v="24"/>
    <n v="5"/>
    <n v="131000"/>
    <m/>
  </r>
  <r>
    <n v="113"/>
    <s v="Router"/>
    <n v="150000"/>
    <s v="₹5,500"/>
    <n v="2"/>
    <n v="300000"/>
    <m/>
    <n v="27"/>
    <n v="5"/>
    <n v="91000"/>
    <m/>
  </r>
  <r>
    <n v="114"/>
    <s v="Power Bank"/>
    <n v="45000"/>
    <s v="₹9,500"/>
    <n v="7"/>
    <n v="315000"/>
    <m/>
    <n v="28"/>
    <n v="5"/>
    <n v="69400"/>
    <m/>
  </r>
  <r>
    <n v="115"/>
    <s v="USB Cable"/>
    <n v="55000"/>
    <s v="₹7,000"/>
    <n v="4"/>
    <n v="220000"/>
    <m/>
    <n v="26"/>
    <n v="5"/>
    <n v="74000"/>
    <m/>
  </r>
  <r>
    <n v="116"/>
    <s v="Charger"/>
    <n v="85000"/>
    <s v="₹4,500"/>
    <n v="6"/>
    <n v="510000"/>
    <m/>
    <n v="31"/>
    <n v="5"/>
    <n v="82000"/>
    <m/>
  </r>
  <r>
    <n v="117"/>
    <s v="Webcam"/>
    <n v="120000"/>
    <s v="₹8,000"/>
    <n v="8"/>
    <n v="960000"/>
    <m/>
    <n v="29"/>
    <n v="5"/>
    <n v="87000"/>
    <m/>
  </r>
  <r>
    <n v="118"/>
    <s v="Gaming Console"/>
    <n v="42000"/>
    <s v="₹6,000"/>
    <n v="3"/>
    <n v="126000"/>
    <m/>
    <n v="28"/>
    <n v="5"/>
    <n v="78000"/>
    <m/>
  </r>
  <r>
    <n v="119"/>
    <s v="Air Conditioner"/>
    <n v="68000"/>
    <s v="₹5,000"/>
    <n v="5"/>
    <n v="340000"/>
    <m/>
    <n v="27"/>
    <n v="5"/>
    <n v="81600"/>
    <m/>
  </r>
  <r>
    <n v="120"/>
    <s v="Air Cooler"/>
    <n v="95000"/>
    <s v="₹7,500"/>
    <n v="9"/>
    <n v="855000"/>
    <m/>
    <n v="28"/>
    <n v="5"/>
    <n v="95000"/>
    <m/>
  </r>
  <r>
    <n v="121"/>
    <s v="Refrigerator"/>
    <n v="110000"/>
    <s v="₹6,500"/>
    <n v="4"/>
    <n v="440000"/>
    <m/>
    <n v="24"/>
    <n v="5"/>
    <n v="93600"/>
    <m/>
  </r>
  <r>
    <n v="122"/>
    <s v="Washing Machine"/>
    <n v="75000"/>
    <s v="₹4,000"/>
    <n v="7"/>
    <n v="525000"/>
    <m/>
    <n v="28"/>
    <n v="5"/>
    <n v="82000"/>
    <m/>
  </r>
  <r>
    <n v="123"/>
    <s v="Microwave Oven"/>
    <n v="60000"/>
    <s v="₹8,500"/>
    <n v="2"/>
    <n v="120000"/>
    <m/>
    <n v="24"/>
    <n v="5"/>
    <n v="97000"/>
    <m/>
  </r>
  <r>
    <n v="124"/>
    <s v="Electric Kettle"/>
    <n v="135000"/>
    <s v="₹5,500"/>
    <n v="6"/>
    <n v="810000"/>
    <m/>
    <n v="26"/>
    <n v="5"/>
    <n v="98000"/>
    <m/>
  </r>
  <r>
    <n v="125"/>
    <s v="Mixer Grinder"/>
    <n v="88000"/>
    <s v="₹7,000"/>
    <n v="5"/>
    <n v="440000"/>
    <m/>
    <n v="27"/>
    <n v="5"/>
    <n v="86600"/>
    <m/>
  </r>
  <r>
    <n v="126"/>
    <s v="Induction Cooktop"/>
    <n v="52000"/>
    <s v="₹9,000"/>
    <n v="8"/>
    <n v="416000"/>
    <m/>
    <n v="28"/>
    <n v="5"/>
    <n v="90000"/>
    <m/>
  </r>
  <r>
    <n v="127"/>
    <s v="Smart Fan"/>
    <n v="150000"/>
    <s v="₹4,500"/>
    <n v="3"/>
    <n v="450000"/>
    <m/>
    <n v="22"/>
    <n v="5"/>
    <n v="89200"/>
    <m/>
  </r>
  <r>
    <n v="128"/>
    <s v="Air Purifier"/>
    <n v="65000"/>
    <s v="₹6,000"/>
    <n v="4"/>
    <n v="260000"/>
    <m/>
    <n v="28"/>
    <n v="5"/>
    <n v="77600"/>
    <m/>
  </r>
  <r>
    <n v="129"/>
    <s v="Vacuum Cleaner"/>
    <n v="78000"/>
    <s v="₹8,000"/>
    <n v="7"/>
    <n v="546000"/>
    <m/>
    <n v="29"/>
    <n v="5"/>
    <n v="89600"/>
    <m/>
  </r>
  <r>
    <n v="130"/>
    <s v="Water Purifier"/>
    <n v="105000"/>
    <s v="₹5,000"/>
    <n v="6"/>
    <n v="630000"/>
    <m/>
    <n v="26"/>
    <n v="5"/>
    <n v="83000"/>
    <m/>
  </r>
  <r>
    <n v="131"/>
    <s v="Iron"/>
    <n v="48000"/>
    <s v="₹7,500"/>
    <n v="2"/>
    <n v="96000"/>
    <m/>
    <n v="28"/>
    <n v="5"/>
    <n v="73000"/>
    <m/>
  </r>
  <r>
    <n v="132"/>
    <s v="Hair Dryer"/>
    <n v="92000"/>
    <s v="₹6,500"/>
    <n v="9"/>
    <n v="828000"/>
    <m/>
    <n v="32"/>
    <n v="5"/>
    <n v="80400"/>
    <m/>
  </r>
  <r>
    <n v="133"/>
    <s v="Trimmer"/>
    <n v="125000"/>
    <s v="₹4,000"/>
    <n v="5"/>
    <n v="625000"/>
    <m/>
    <n v="26"/>
    <n v="5"/>
    <n v="86000"/>
    <m/>
  </r>
  <r>
    <n v="134"/>
    <s v="Electric Shaver"/>
    <n v="45000"/>
    <s v="₹8,500"/>
    <n v="4"/>
    <n v="180000"/>
    <m/>
    <n v="28"/>
    <n v="5"/>
    <n v="69400"/>
    <m/>
  </r>
  <r>
    <n v="135"/>
    <s v="Digital Camera"/>
    <n v="55000"/>
    <s v="₹5,500"/>
    <n v="8"/>
    <n v="440000"/>
    <m/>
    <n v="29"/>
    <n v="5"/>
    <n v="74000"/>
    <m/>
  </r>
  <r>
    <n v="136"/>
    <s v="Projector"/>
    <n v="85000"/>
    <s v="₹7,000"/>
    <n v="6"/>
    <n v="510000"/>
    <m/>
    <n v="23"/>
    <n v="5"/>
    <n v="82000"/>
    <m/>
  </r>
  <r>
    <n v="137"/>
    <s v="Soundbar"/>
    <n v="120000"/>
    <s v="₹6,000"/>
    <n v="3"/>
    <n v="360000"/>
    <m/>
    <n v="23"/>
    <n v="5"/>
    <n v="87000"/>
    <m/>
  </r>
  <r>
    <n v="138"/>
    <s v="Home Theater"/>
    <n v="42000"/>
    <s v="₹9,500"/>
    <n v="7"/>
    <n v="294000"/>
    <m/>
    <n v="24"/>
    <n v="5"/>
    <n v="78000"/>
    <m/>
  </r>
  <r>
    <n v="139"/>
    <s v="LED Bulb"/>
    <n v="68000"/>
    <s v="₹4,500"/>
    <n v="5"/>
    <n v="340000"/>
    <m/>
    <n v="26"/>
    <n v="5"/>
    <n v="81600"/>
    <m/>
  </r>
  <r>
    <n v="140"/>
    <s v="Smart Light"/>
    <n v="95000"/>
    <s v="₹8,000"/>
    <n v="2"/>
    <n v="190000"/>
    <m/>
    <n v="28"/>
    <n v="5"/>
    <n v="95000"/>
    <m/>
  </r>
  <r>
    <n v="141"/>
    <s v="Smart Plug"/>
    <n v="110000"/>
    <s v="₹5,000"/>
    <n v="6"/>
    <n v="660000"/>
    <m/>
    <n v="29"/>
    <n v="5"/>
    <n v="93600"/>
    <m/>
  </r>
  <r>
    <n v="142"/>
    <s v="CCTV Camera"/>
    <n v="75000"/>
    <s v="₹7,500"/>
    <n v="4"/>
    <n v="300000"/>
    <m/>
    <n v="28"/>
    <n v="5"/>
    <n v="82000"/>
    <m/>
  </r>
  <r>
    <n v="143"/>
    <s v="Video Doorbell"/>
    <n v="60000"/>
    <s v="₹6,500"/>
    <n v="9"/>
    <n v="540000"/>
    <m/>
    <n v="32"/>
    <n v="5"/>
    <n v="97000"/>
    <m/>
  </r>
  <r>
    <n v="144"/>
    <s v="Smart Door Lock"/>
    <n v="135000"/>
    <s v="₹5,500"/>
    <n v="7"/>
    <n v="945000"/>
    <m/>
    <n v="27"/>
    <n v="5"/>
    <n v="98000"/>
    <m/>
  </r>
  <r>
    <n v="145"/>
    <s v="Wi-Fi Extender"/>
    <n v="88000"/>
    <s v="₹4,000"/>
    <n v="3"/>
    <n v="264000"/>
    <m/>
    <n v="26"/>
    <n v="5"/>
    <n v="86600"/>
    <m/>
  </r>
  <r>
    <n v="146"/>
    <s v="External Hard Drive"/>
    <n v="52000"/>
    <s v="₹8,500"/>
    <n v="5"/>
    <n v="260000"/>
    <m/>
    <n v="25"/>
    <n v="5"/>
    <n v="90000"/>
    <m/>
  </r>
  <r>
    <n v="147"/>
    <s v="SSD"/>
    <n v="150000"/>
    <s v="₹7,000"/>
    <n v="8"/>
    <n v="1200000"/>
    <m/>
    <n v="27"/>
    <n v="5"/>
    <n v="89200"/>
    <m/>
  </r>
  <r>
    <n v="148"/>
    <s v="USB Flash Drive"/>
    <n v="65000"/>
    <s v="₹6,000"/>
    <n v="4"/>
    <n v="260000"/>
    <m/>
    <n v="24"/>
    <n v="5"/>
    <n v="77600"/>
    <m/>
  </r>
  <r>
    <n v="149"/>
    <s v="Graphics Card"/>
    <n v="78000"/>
    <s v="₹9,000"/>
    <n v="6"/>
    <n v="468000"/>
    <m/>
    <n v="29"/>
    <n v="5"/>
    <n v="89600"/>
    <m/>
  </r>
  <r>
    <n v="150"/>
    <s v="Computer CPU"/>
    <n v="105000"/>
    <s v="₹5,000"/>
    <n v="2"/>
    <n v="210000"/>
    <m/>
    <n v="26"/>
    <n v="5"/>
    <n v="83000"/>
    <m/>
  </r>
  <r>
    <n v="151"/>
    <s v="Motherboard"/>
    <n v="48000"/>
    <s v="₹7,500"/>
    <n v="7"/>
    <n v="336000"/>
    <m/>
    <n v="30"/>
    <n v="5"/>
    <n v="73000"/>
    <m/>
  </r>
  <r>
    <n v="152"/>
    <s v="RAM"/>
    <n v="92000"/>
    <s v="₹6,500"/>
    <n v="5"/>
    <n v="460000"/>
    <m/>
    <n v="27"/>
    <n v="5"/>
    <n v="80400"/>
    <m/>
  </r>
  <r>
    <n v="153"/>
    <s v="UPS"/>
    <n v="125000"/>
    <s v="₹4,500"/>
    <n v="9"/>
    <n v="1125000"/>
    <m/>
    <n v="30"/>
    <n v="5"/>
    <n v="86000"/>
    <m/>
  </r>
  <r>
    <n v="154"/>
    <s v="Surge Protector"/>
    <n v="45000"/>
    <s v="₹8,000"/>
    <n v="3"/>
    <n v="135000"/>
    <m/>
    <n v="26"/>
    <n v="5"/>
    <n v="69400"/>
    <m/>
  </r>
  <r>
    <n v="155"/>
    <s v="Set-Top Box"/>
    <n v="55000"/>
    <s v="₹5,500"/>
    <n v="6"/>
    <n v="330000"/>
    <m/>
    <n v="25"/>
    <n v="5"/>
    <n v="74000"/>
    <m/>
  </r>
  <r>
    <n v="156"/>
    <s v="DVD Player"/>
    <n v="85000"/>
    <s v="₹7,000"/>
    <n v="4"/>
    <n v="340000"/>
    <m/>
    <n v="26"/>
    <n v="5"/>
    <n v="82000"/>
    <m/>
  </r>
  <r>
    <n v="157"/>
    <s v="Gaming Mouse"/>
    <n v="120000"/>
    <s v="₹6,000"/>
    <n v="8"/>
    <n v="960000"/>
    <m/>
    <n v="28"/>
    <n v="5"/>
    <n v="87000"/>
    <m/>
  </r>
  <r>
    <n v="158"/>
    <s v="Gaming Keyboard"/>
    <n v="42000"/>
    <s v="₹8,500"/>
    <n v="5"/>
    <n v="210000"/>
    <m/>
    <n v="23"/>
    <n v="5"/>
    <n v="78000"/>
    <m/>
  </r>
  <r>
    <n v="159"/>
    <s v="Gaming Headset"/>
    <n v="68000"/>
    <s v="₹4,000"/>
    <n v="2"/>
    <n v="136000"/>
    <m/>
    <n v="27"/>
    <n v="5"/>
    <n v="81600"/>
    <m/>
  </r>
  <r>
    <n v="160"/>
    <s v="Microphone"/>
    <n v="95000"/>
    <s v="₹9,500"/>
    <n v="7"/>
    <n v="665000"/>
    <m/>
    <n v="29"/>
    <n v="5"/>
    <n v="95000"/>
    <m/>
  </r>
  <r>
    <n v="161"/>
    <s v="Fitness Band"/>
    <n v="110000"/>
    <s v="₹5,000"/>
    <n v="6"/>
    <n v="660000"/>
    <m/>
    <n v="27"/>
    <n v="5"/>
    <n v="93600"/>
    <m/>
  </r>
  <r>
    <n v="162"/>
    <s v="Smart AC Controller"/>
    <n v="75000"/>
    <s v="₹7,500"/>
    <n v="3"/>
    <n v="225000"/>
    <m/>
    <n v="29"/>
    <n v="5"/>
    <n v="82000"/>
    <m/>
  </r>
  <r>
    <n v="163"/>
    <s v="Smart Home Hub"/>
    <n v="60000"/>
    <s v="₹6,500"/>
    <n v="9"/>
    <n v="540000"/>
    <m/>
    <n v="32"/>
    <n v="5"/>
    <n v="97000"/>
    <m/>
  </r>
  <r>
    <n v="164"/>
    <s v="Robot Vacuum"/>
    <n v="135000"/>
    <s v="₹4,500"/>
    <n v="4"/>
    <n v="540000"/>
    <m/>
    <n v="25"/>
    <n v="5"/>
    <n v="98000"/>
    <m/>
  </r>
  <r>
    <n v="165"/>
    <s v="Electric Rice Cooker"/>
    <n v="88000"/>
    <s v="₹8,000"/>
    <n v="5"/>
    <n v="440000"/>
    <m/>
    <n v="28"/>
    <n v="5"/>
    <n v="86600"/>
    <m/>
  </r>
  <r>
    <n v="166"/>
    <s v="Toaster"/>
    <n v="52000"/>
    <s v="₹5,500"/>
    <n v="8"/>
    <n v="416000"/>
    <m/>
    <n v="27"/>
    <n v="5"/>
    <n v="90000"/>
    <m/>
  </r>
  <r>
    <n v="167"/>
    <s v="Sandwich Maker"/>
    <n v="150000"/>
    <s v="₹7,000"/>
    <n v="6"/>
    <n v="900000"/>
    <m/>
    <n v="28"/>
    <n v="5"/>
    <n v="89200"/>
    <m/>
  </r>
  <r>
    <n v="168"/>
    <s v="Juicer"/>
    <n v="65000"/>
    <s v="₹6,000"/>
    <n v="2"/>
    <n v="130000"/>
    <m/>
    <n v="27"/>
    <n v="5"/>
    <n v="77600"/>
    <m/>
  </r>
  <r>
    <n v="169"/>
    <s v="Food Processor"/>
    <n v="78000"/>
    <s v="₹8,500"/>
    <n v="7"/>
    <n v="546000"/>
    <m/>
    <n v="28"/>
    <n v="5"/>
    <n v="89600"/>
    <m/>
  </r>
  <r>
    <n v="170"/>
    <s v="Coffee Maker"/>
    <n v="105000"/>
    <s v="₹4,000"/>
    <n v="4"/>
    <n v="420000"/>
    <m/>
    <n v="27"/>
    <n v="5"/>
    <n v="83000"/>
    <m/>
  </r>
  <r>
    <n v="171"/>
    <s v="Electric Chopper"/>
    <n v="48000"/>
    <s v="₹9,000"/>
    <n v="9"/>
    <n v="432000"/>
    <m/>
    <n v="31"/>
    <n v="5"/>
    <n v="73000"/>
    <m/>
  </r>
  <r>
    <n v="172"/>
    <s v="Air Fryer"/>
    <n v="92000"/>
    <s v="₹5,000"/>
    <n v="5"/>
    <n v="460000"/>
    <m/>
    <n v="26"/>
    <n v="5"/>
    <n v="80400"/>
    <m/>
  </r>
  <r>
    <n v="173"/>
    <s v="Electric Oven"/>
    <n v="125000"/>
    <s v="₹7,500"/>
    <n v="3"/>
    <n v="375000"/>
    <m/>
    <n v="28"/>
    <n v="5"/>
    <n v="86000"/>
    <m/>
  </r>
  <r>
    <n v="174"/>
    <s v="Hand Blender"/>
    <n v="45000"/>
    <s v="₹6,500"/>
    <n v="6"/>
    <n v="270000"/>
    <m/>
    <n v="27"/>
    <n v="5"/>
    <n v="69400"/>
    <m/>
  </r>
  <r>
    <n v="175"/>
    <s v="Electric Grill"/>
    <n v="55000"/>
    <s v="₹4,500"/>
    <n v="8"/>
    <n v="440000"/>
    <m/>
    <n v="26"/>
    <n v="5"/>
    <n v="74000"/>
    <m/>
  </r>
  <r>
    <n v="176"/>
    <s v="Electric Toothbrush"/>
    <n v="85000"/>
    <s v="₹8,000"/>
    <n v="4"/>
    <n v="340000"/>
    <m/>
    <n v="27"/>
    <n v="5"/>
    <n v="82000"/>
    <m/>
  </r>
  <r>
    <n v="177"/>
    <s v="Digital Weighing Scale"/>
    <n v="120000"/>
    <s v="₹5,500"/>
    <n v="7"/>
    <n v="840000"/>
    <m/>
    <n v="29"/>
    <n v="5"/>
    <n v="87000"/>
    <m/>
  </r>
  <r>
    <n v="178"/>
    <s v="Smart Mirror"/>
    <n v="42000"/>
    <s v="₹7,000"/>
    <n v="2"/>
    <n v="84000"/>
    <m/>
    <n v="25"/>
    <n v="5"/>
    <n v="78000"/>
    <m/>
  </r>
  <r>
    <n v="179"/>
    <s v="Portable Projector"/>
    <n v="68000"/>
    <s v="₹6,000"/>
    <n v="5"/>
    <n v="340000"/>
    <m/>
    <n v="31"/>
    <n v="5"/>
    <n v="81600"/>
    <m/>
  </r>
  <r>
    <n v="180"/>
    <s v="VR Headset"/>
    <n v="95000"/>
    <s v="₹8,500"/>
    <n v="9"/>
    <n v="855000"/>
    <m/>
    <n v="30"/>
    <n v="5"/>
    <n v="95000"/>
    <m/>
  </r>
  <r>
    <n v="181"/>
    <s v="Drone"/>
    <n v="110000"/>
    <s v="₹4,000"/>
    <n v="6"/>
    <n v="660000"/>
    <m/>
    <n v="28"/>
    <n v="5"/>
    <n v="93600"/>
    <m/>
  </r>
  <r>
    <n v="182"/>
    <s v="Action Camera"/>
    <n v="75000"/>
    <s v="₹9,500"/>
    <n v="3"/>
    <n v="225000"/>
    <m/>
    <n v="27"/>
    <n v="5"/>
    <n v="82000"/>
    <m/>
  </r>
  <r>
    <n v="183"/>
    <s v="Camera Lens"/>
    <n v="60000"/>
    <s v="₹5,000"/>
    <n v="8"/>
    <n v="480000"/>
    <m/>
    <n v="26"/>
    <n v="5"/>
    <n v="97000"/>
    <m/>
  </r>
  <r>
    <n v="184"/>
    <s v="Tripod"/>
    <n v="135000"/>
    <s v="₹7,500"/>
    <n v="4"/>
    <n v="540000"/>
    <m/>
    <n v="24"/>
    <n v="5"/>
    <n v="98000"/>
    <m/>
  </r>
  <r>
    <n v="185"/>
    <s v="Memory Card"/>
    <n v="88000"/>
    <s v="₹6,500"/>
    <n v="7"/>
    <n v="616000"/>
    <m/>
    <n v="29"/>
    <n v="5"/>
    <n v="86600"/>
    <m/>
  </r>
  <r>
    <n v="186"/>
    <s v="Power Adapter"/>
    <n v="52000"/>
    <s v="₹4,500"/>
    <n v="5"/>
    <n v="260000"/>
    <m/>
    <n v="25"/>
    <n v="5"/>
    <n v="90000"/>
    <m/>
  </r>
  <r>
    <n v="187"/>
    <s v="Laptop Stand"/>
    <n v="150000"/>
    <s v="₹8,000"/>
    <n v="2"/>
    <n v="300000"/>
    <m/>
    <n v="28"/>
    <n v="5"/>
    <n v="89200"/>
    <m/>
  </r>
  <r>
    <n v="188"/>
    <s v="Cooling Pad"/>
    <n v="65000"/>
    <s v="₹5,500"/>
    <n v="6"/>
    <n v="390000"/>
    <m/>
    <n v="30"/>
    <n v="5"/>
    <n v="77600"/>
    <m/>
  </r>
  <r>
    <n v="189"/>
    <s v="Docking Station"/>
    <n v="78000"/>
    <s v="₹7,000"/>
    <n v="9"/>
    <n v="702000"/>
    <m/>
    <n v="31"/>
    <n v="5"/>
    <n v="89600"/>
    <m/>
  </r>
  <r>
    <n v="190"/>
    <s v="Graphics Tablet"/>
    <n v="105000"/>
    <s v="₹6,000"/>
    <n v="3"/>
    <n v="315000"/>
    <m/>
    <n v="27"/>
    <n v="5"/>
    <n v="83000"/>
    <m/>
  </r>
  <r>
    <n v="191"/>
    <s v="Barcode Scanner"/>
    <n v="48000"/>
    <s v="₹8,500"/>
    <n v="8"/>
    <n v="384000"/>
    <m/>
    <n v="30"/>
    <n v="5"/>
    <n v="73000"/>
    <m/>
  </r>
  <r>
    <n v="192"/>
    <s v="POS Machine"/>
    <n v="92000"/>
    <s v="₹4,000"/>
    <n v="4"/>
    <n v="368000"/>
    <m/>
    <n v="24"/>
    <n v="5"/>
    <n v="80400"/>
    <m/>
  </r>
  <r>
    <n v="193"/>
    <s v="Electronic Calculator"/>
    <n v="125000"/>
    <s v="₹9,000"/>
    <n v="7"/>
    <n v="875000"/>
    <m/>
    <n v="29"/>
    <n v="5"/>
    <n v="86000"/>
    <m/>
  </r>
  <r>
    <n v="194"/>
    <s v="Digital Alarm Clock"/>
    <n v="45000"/>
    <s v="₹5,000"/>
    <n v="5"/>
    <n v="225000"/>
    <m/>
    <n v="26"/>
    <n v="5"/>
    <n v="69400"/>
    <m/>
  </r>
  <r>
    <n v="195"/>
    <s v="Smart Display"/>
    <n v="55000"/>
    <s v="₹7,500"/>
    <n v="6"/>
    <n v="330000"/>
    <m/>
    <n v="31"/>
    <n v="5"/>
    <n v="74000"/>
    <m/>
  </r>
  <r>
    <n v="196"/>
    <s v="E-Reader"/>
    <n v="85000"/>
    <s v="₹6,500"/>
    <n v="2"/>
    <n v="170000"/>
    <m/>
    <n v="25"/>
    <n v="4"/>
    <n v="78750"/>
    <m/>
  </r>
  <r>
    <n v="197"/>
    <s v="Baby Monitor"/>
    <n v="120000"/>
    <s v="₹4,500"/>
    <n v="9"/>
    <n v="1080000"/>
    <m/>
    <n v="23"/>
    <n v="3"/>
    <n v="76666.666666666672"/>
    <m/>
  </r>
  <r>
    <n v="198"/>
    <s v="Dash Camera"/>
    <n v="42000"/>
    <s v="₹8,500"/>
    <n v="4"/>
    <n v="168000"/>
    <m/>
    <n v="14"/>
    <n v="2"/>
    <n v="55000"/>
    <m/>
  </r>
  <r>
    <n v="199"/>
    <s v="Car Bluetooth Adapter"/>
    <n v="68000"/>
    <s v="₹8,000"/>
    <n v="10"/>
    <n v="680000"/>
    <m/>
    <n v="10"/>
    <n v="1"/>
    <n v="680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1">
  <r>
    <s v="ORD1001"/>
    <s v="15-01-26"/>
    <s v="Abhishek singh"/>
    <x v="0"/>
    <x v="0"/>
    <s v="Electronics"/>
    <n v="5"/>
    <x v="0"/>
    <n v="0.1"/>
    <s v="₹85,000"/>
    <s v="UPI"/>
  </r>
  <r>
    <s v="0RD1002"/>
    <s v="16-01-26"/>
    <s v="aman kumar"/>
    <x v="1"/>
    <x v="1"/>
    <s v="Electronics"/>
    <n v="3"/>
    <x v="1"/>
    <n v="0.08"/>
    <s v="₹96,000"/>
    <s v="Credit Card"/>
  </r>
  <r>
    <s v="0RD1003"/>
    <s v="18-01-26"/>
    <s v="sunny singh "/>
    <x v="2"/>
    <x v="2"/>
    <s v="Electronics"/>
    <n v="3"/>
    <x v="2"/>
    <n v="0.12"/>
    <s v="₹63,000"/>
    <s v="Debit Card"/>
  </r>
  <r>
    <s v="0RD1004"/>
    <s v="18-01-26"/>
    <s v="jyoti singh"/>
    <x v="3"/>
    <x v="3"/>
    <s v="Electronics"/>
    <n v="4"/>
    <x v="3"/>
    <n v="0.1"/>
    <s v="₹68,000"/>
    <s v="Net Banking"/>
  </r>
  <r>
    <s v="0RD1005"/>
    <s v="19-01-26"/>
    <s v="pawan kumar"/>
    <x v="4"/>
    <x v="4"/>
    <s v="Electronics"/>
    <n v="5"/>
    <x v="4"/>
    <n v="0.15"/>
    <s v="₹52,500"/>
    <s v="UPI"/>
  </r>
  <r>
    <s v="0RD1006"/>
    <s v="20-01-26"/>
    <s v="Rahul kumar"/>
    <x v="5"/>
    <x v="5"/>
    <s v="Electronics"/>
    <n v="6"/>
    <x v="5"/>
    <n v="0.05"/>
    <s v="₹18,000"/>
    <s v="Cash"/>
  </r>
  <r>
    <s v="0RD1007"/>
    <s v="22-01-26"/>
    <s v="kundan singh"/>
    <x v="6"/>
    <x v="6"/>
    <s v="Electronics"/>
    <n v="7"/>
    <x v="6"/>
    <n v="0.05"/>
    <s v="₹14,250"/>
    <s v="UPI"/>
  </r>
  <r>
    <s v="0RD1008"/>
    <s v="23-01-26"/>
    <s v="Rohit singh"/>
    <x v="7"/>
    <x v="7"/>
    <s v="Electronics"/>
    <n v="8"/>
    <x v="7"/>
    <n v="0.1"/>
    <s v="₹31,500"/>
    <s v="Credit Card"/>
  </r>
  <r>
    <s v="0RD1009"/>
    <s v="24-01-26"/>
    <s v="chandan singh"/>
    <x v="8"/>
    <x v="8"/>
    <s v="Electronics"/>
    <n v="7"/>
    <x v="8"/>
    <n v="0.12"/>
    <s v="₹57,000"/>
    <s v="UPI"/>
  </r>
  <r>
    <s v="0RD1010"/>
    <s v="26-01-26"/>
    <s v="prince singh "/>
    <x v="9"/>
    <x v="9"/>
    <s v="Electronics"/>
    <n v="6"/>
    <x v="9"/>
    <n v="0.15"/>
    <s v="₹36,000"/>
    <s v="COD"/>
  </r>
  <r>
    <s v="0RD1011"/>
    <s v="28-01-26"/>
    <s v="sapna kumari"/>
    <x v="10"/>
    <x v="10"/>
    <s v="Electronics"/>
    <n v="7"/>
    <x v="10"/>
    <n v="0.1"/>
    <s v="₹48,000"/>
    <s v="Debit Card"/>
  </r>
  <r>
    <s v="0RD1012"/>
    <s v="17-01-26"/>
    <s v="priya kumari"/>
    <x v="11"/>
    <x v="11"/>
    <s v="Electronics"/>
    <n v="6"/>
    <x v="11"/>
    <n v="0.08"/>
    <s v="₹22,500"/>
    <s v="UPI"/>
  </r>
  <r>
    <s v="0RD1013"/>
    <s v="18-02-26"/>
    <s v="anshu kumari"/>
    <x v="12"/>
    <x v="12"/>
    <s v="Electronics"/>
    <n v="4"/>
    <x v="12"/>
    <n v="0.05"/>
    <s v="₹11,250"/>
    <s v="Cash"/>
  </r>
  <r>
    <s v="0RD1014"/>
    <s v="17-02-26"/>
    <s v="anuradha kumari"/>
    <x v="13"/>
    <x v="13"/>
    <s v="Electronics"/>
    <n v="4"/>
    <x v="13"/>
    <n v="0.1"/>
    <s v="₹27,000"/>
    <s v="Credit Card"/>
  </r>
  <r>
    <s v="0RD1015"/>
    <s v="18-02-26"/>
    <s v="Riya kumari"/>
    <x v="14"/>
    <x v="14"/>
    <s v="Electronics"/>
    <n v="5"/>
    <x v="14"/>
    <n v="0.12"/>
    <s v="₹39,000"/>
    <s v="UPI"/>
  </r>
  <r>
    <s v="0RD1016"/>
    <s v="19-02-26"/>
    <s v="muskan kumari"/>
    <x v="15"/>
    <x v="15"/>
    <s v="Electronics"/>
    <n v="2"/>
    <x v="15"/>
    <n v="0.15"/>
    <s v="₹43,500"/>
    <s v="Net Banking"/>
  </r>
  <r>
    <s v="0RD1017"/>
    <s v="20-02-26"/>
    <s v="payal kumari"/>
    <x v="3"/>
    <x v="16"/>
    <s v="Electronics"/>
    <n v="2"/>
    <x v="16"/>
    <n v="0.1"/>
    <s v="₹25,500"/>
    <s v="Debit Card"/>
  </r>
  <r>
    <s v="0RD1018"/>
    <s v="21-02-26"/>
    <s v="jitu singh "/>
    <x v="4"/>
    <x v="17"/>
    <s v="Electronics"/>
    <n v="3"/>
    <x v="17"/>
    <n v="0.08"/>
    <s v="₹16,500"/>
    <s v="UPI"/>
  </r>
  <r>
    <s v="0RD1019"/>
    <s v="22-02-26"/>
    <s v="suraj singh"/>
    <x v="5"/>
    <x v="18"/>
    <s v="Electronics"/>
    <n v="1"/>
    <x v="18"/>
    <n v="0.1"/>
    <s v="₹12,750"/>
    <s v="Cash"/>
  </r>
  <r>
    <s v="0RD1020"/>
    <s v="23-02-26"/>
    <s v="sachin singh"/>
    <x v="6"/>
    <x v="19"/>
    <s v="Electronics"/>
    <n v="1"/>
    <x v="19"/>
    <n v="0.15"/>
    <s v="₹37,500"/>
    <s v="Credit Card"/>
  </r>
  <r>
    <s v="0RD1021"/>
    <s v="15-03-26"/>
    <s v="sangam singh"/>
    <x v="7"/>
    <x v="20"/>
    <s v="Electronics"/>
    <n v="3"/>
    <x v="20"/>
    <n v="0.12"/>
    <s v="₹90,000"/>
    <s v="EMI"/>
  </r>
  <r>
    <s v="0RD1022"/>
    <s v="13-03-26"/>
    <s v="shubham singh"/>
    <x v="8"/>
    <x v="21"/>
    <s v="Electronics"/>
    <n v="5"/>
    <x v="21"/>
    <n v="0.15"/>
    <s v="₹33,000"/>
    <s v="UPI"/>
  </r>
  <r>
    <s v="0RD1023"/>
    <s v="20-03-26"/>
    <s v="suman singh"/>
    <x v="11"/>
    <x v="22"/>
    <s v="Electronics"/>
    <n v="9"/>
    <x v="22"/>
    <n v="0.08"/>
    <s v="₹36,000"/>
    <s v="Credit Card"/>
  </r>
  <r>
    <s v="0RD1024"/>
    <s v="22-03-26"/>
    <s v="sanjiv singh"/>
    <x v="12"/>
    <x v="23"/>
    <s v="Electronics"/>
    <n v="4"/>
    <x v="23"/>
    <n v="0.1"/>
    <s v="₹54,000"/>
    <s v="Net Banking"/>
  </r>
  <r>
    <s v="0RD1025"/>
    <s v="23-03-26"/>
    <s v="Ravi kumar"/>
    <x v="13"/>
    <x v="24"/>
    <s v="Electronics"/>
    <n v="3"/>
    <x v="24"/>
    <n v="0.05"/>
    <s v="₹21,000"/>
    <s v="Debit Card"/>
  </r>
  <r>
    <s v="0RD1026"/>
    <s v="14-04-26"/>
    <s v="Deepak singh"/>
    <x v="14"/>
    <x v="25"/>
    <s v="Electronics"/>
    <n v="5"/>
    <x v="25"/>
    <n v="0.08"/>
    <s v="₹10,500"/>
    <s v="UPI"/>
  </r>
  <r>
    <s v="0RD1027"/>
    <s v="25-04-26"/>
    <s v="mohit singh"/>
    <x v="15"/>
    <x v="26"/>
    <s v="Electronics"/>
    <n v="6"/>
    <x v="26"/>
    <n v="0.1"/>
    <s v="₹13,500"/>
    <s v="Cash"/>
  </r>
  <r>
    <s v="0RD1028"/>
    <s v="26-04-26"/>
    <s v="aman kumar"/>
    <x v="1"/>
    <x v="27"/>
    <s v="Electronics"/>
    <n v="8"/>
    <x v="27"/>
    <n v="0.05"/>
    <s v="₹9,000"/>
    <s v="COD"/>
  </r>
  <r>
    <s v="0RD1029"/>
    <s v="27-04-26"/>
    <s v="sagar singh"/>
    <x v="2"/>
    <x v="28"/>
    <s v="Electronics"/>
    <n v="4"/>
    <x v="28"/>
    <n v="0.05"/>
    <s v="₹11,000"/>
    <s v="UPI"/>
  </r>
  <r>
    <s v="0RD1030"/>
    <d v="2026-01-01T00:00:00"/>
    <s v=" Rahul Kumar"/>
    <x v="16"/>
    <x v="0"/>
    <s v="Electronics"/>
    <n v="2"/>
    <x v="25"/>
    <n v="0.05"/>
    <s v="₹13,500"/>
    <s v="Cash"/>
  </r>
  <r>
    <s v="0RD1031"/>
    <d v="2026-02-01T00:00:00"/>
    <s v=" Aman Kumar"/>
    <x v="17"/>
    <x v="29"/>
    <s v="Electronics"/>
    <n v="1"/>
    <x v="25"/>
    <n v="0.1"/>
    <s v="₹9,000"/>
    <s v="UPI"/>
  </r>
  <r>
    <s v="0RD1032"/>
    <d v="2026-03-01T00:00:00"/>
    <s v="Rohit singh"/>
    <x v="18"/>
    <x v="30"/>
    <s v="Electronics"/>
    <n v="3"/>
    <x v="26"/>
    <n v="0.08"/>
    <s v="₹11,000"/>
    <s v="Debit Card"/>
  </r>
  <r>
    <s v="0RD1033"/>
    <d v="2026-04-01T00:00:00"/>
    <s v=" Rahul Kumar"/>
    <x v="19"/>
    <x v="31"/>
    <s v="Electronics"/>
    <n v="2"/>
    <x v="27"/>
    <n v="0.12"/>
    <s v="₹8,500"/>
    <s v="Credit Card"/>
  </r>
  <r>
    <s v="0RD1034"/>
    <d v="2026-05-01T00:00:00"/>
    <s v="Vikash Kumar"/>
    <x v="20"/>
    <x v="32"/>
    <s v="Electronics"/>
    <n v="5"/>
    <x v="28"/>
    <n v="0.15"/>
    <s v="₹12,000"/>
    <s v="Net Banking"/>
  </r>
  <r>
    <s v="0RD1035"/>
    <d v="2026-06-02T00:00:00"/>
    <s v="Ankit Kumar"/>
    <x v="21"/>
    <x v="33"/>
    <s v="Electronics"/>
    <n v="1"/>
    <x v="18"/>
    <n v="0.05"/>
    <s v="₹6,500"/>
    <s v="Bank Transfer"/>
  </r>
  <r>
    <s v="0RD1036"/>
    <s v="31-01-2026"/>
    <s v="Amit Singh"/>
    <x v="22"/>
    <x v="34"/>
    <s v="Electronics"/>
    <n v="4"/>
    <x v="5"/>
    <n v="0.1"/>
    <s v="₹14,000"/>
    <s v="Cheque"/>
  </r>
  <r>
    <s v="0RD1037"/>
    <d v="2026-02-04T00:00:00"/>
    <s v="Sumit Kumar"/>
    <x v="23"/>
    <x v="3"/>
    <s v="Electronics"/>
    <n v="2"/>
    <x v="29"/>
    <n v="0.08"/>
    <s v="₹7,500"/>
    <s v="Cash on Delivery"/>
  </r>
  <r>
    <s v="0RD1038"/>
    <d v="2026-01-02T00:00:00"/>
    <s v="Nitin Kumar"/>
    <x v="24"/>
    <x v="35"/>
    <s v="Electronics"/>
    <n v="3"/>
    <x v="30"/>
    <n v="0.12"/>
    <s v="₹9,500"/>
    <s v="Wallet"/>
  </r>
  <r>
    <s v="0RD1039"/>
    <d v="2026-02-02T00:00:00"/>
    <s v="Manish Kumar"/>
    <x v="25"/>
    <x v="36"/>
    <s v="Electronics"/>
    <n v="1"/>
    <x v="6"/>
    <n v="0.1"/>
    <s v="₹15,000"/>
    <s v="EMI"/>
  </r>
  <r>
    <s v="0RD1040"/>
    <d v="2026-03-02T00:00:00"/>
    <s v="Vikas Singh"/>
    <x v="26"/>
    <x v="37"/>
    <s v="Electronics"/>
    <n v="6"/>
    <x v="17"/>
    <n v="0.15"/>
    <s v="₹5,500"/>
    <s v="Cash"/>
  </r>
  <r>
    <s v="0RD1041"/>
    <d v="2026-04-03T00:00:00"/>
    <s v="Rajesh Kumar"/>
    <x v="27"/>
    <x v="38"/>
    <s v="Electronics"/>
    <n v="2"/>
    <x v="12"/>
    <n v="0.08"/>
    <s v="₹11,500"/>
    <s v="UPI"/>
  </r>
  <r>
    <s v="0RD1042"/>
    <s v="28-02-2026"/>
    <s v="Mukesh Kumar"/>
    <x v="28"/>
    <x v="2"/>
    <s v="Electronics"/>
    <n v="4"/>
    <x v="31"/>
    <n v="0.05"/>
    <s v="₹8,000"/>
    <s v="Debit Card"/>
  </r>
  <r>
    <s v="0RD1043"/>
    <d v="2026-05-06T00:00:00"/>
    <s v="Ranjan Kumar"/>
    <x v="29"/>
    <x v="39"/>
    <s v="Electronics"/>
    <n v="3"/>
    <x v="32"/>
    <n v="0.1"/>
    <s v="₹13,000"/>
    <s v="Credit Card"/>
  </r>
  <r>
    <s v="0RD1044"/>
    <d v="2026-01-03T00:00:00"/>
    <s v="Nitish Kumar"/>
    <x v="30"/>
    <x v="40"/>
    <s v="Electronics"/>
    <n v="1"/>
    <x v="33"/>
    <n v="0.12"/>
    <s v="₹10,000"/>
    <s v="Net Banking"/>
  </r>
  <r>
    <s v="0RD1045"/>
    <d v="2026-02-03T00:00:00"/>
    <s v="Gaurav Singh"/>
    <x v="31"/>
    <x v="1"/>
    <s v="Electronics"/>
    <n v="5"/>
    <x v="34"/>
    <n v="0.15"/>
    <s v="₹7,000"/>
    <s v="Bank Transfer"/>
  </r>
  <r>
    <s v="0RD1046"/>
    <d v="2026-03-03T00:00:00"/>
    <s v="Arjun Kumar"/>
    <x v="32"/>
    <x v="41"/>
    <s v="Electronics"/>
    <n v="2"/>
    <x v="11"/>
    <n v="0.1"/>
    <s v="₹16,000"/>
    <s v="Cheque"/>
  </r>
  <r>
    <s v="0RD1047"/>
    <s v="28-02-2026"/>
    <s v="Karan Singh"/>
    <x v="12"/>
    <x v="42"/>
    <s v="Electronics"/>
    <n v="3"/>
    <x v="35"/>
    <n v="0.08"/>
    <s v="₹9,000"/>
    <s v="Cash on Delivery"/>
  </r>
  <r>
    <s v="0RD1048"/>
    <s v="31-03-2026"/>
    <s v="Vivek Kumar"/>
    <x v="33"/>
    <x v="10"/>
    <s v="Electronics"/>
    <n v="4"/>
    <x v="36"/>
    <n v="0.05"/>
    <s v="₹12,500"/>
    <s v="Wallet"/>
  </r>
  <r>
    <s v="0RD1049"/>
    <d v="2026-01-03T00:00:00"/>
    <s v="Aditya Singh"/>
    <x v="34"/>
    <x v="43"/>
    <s v="Electronics"/>
    <n v="1"/>
    <x v="37"/>
    <n v="0.12"/>
    <s v="₹6,000"/>
    <s v="EMI"/>
  </r>
  <r>
    <s v="0RD1050"/>
    <d v="2026-01-04T00:00:00"/>
    <s v="Akash Kumar"/>
    <x v="35"/>
    <x v="44"/>
    <s v="Electronics"/>
    <n v="2"/>
    <x v="38"/>
    <n v="0.1"/>
    <s v="₹14,500"/>
    <s v="Cash"/>
  </r>
  <r>
    <s v="0RD1051"/>
    <d v="2026-02-04T00:00:00"/>
    <s v="Rohit Kumar"/>
    <x v="36"/>
    <x v="45"/>
    <s v="Electronics"/>
    <n v="6"/>
    <x v="39"/>
    <n v="0.15"/>
    <s v="₹8,500"/>
    <s v="UPI"/>
  </r>
  <r>
    <s v="0RD1052"/>
    <d v="2026-03-04T00:00:00"/>
    <s v="Ravi Singh"/>
    <x v="37"/>
    <x v="46"/>
    <s v="Electronics"/>
    <n v="3"/>
    <x v="40"/>
    <n v="0.08"/>
    <s v="₹11,000"/>
    <s v="Debit Card"/>
  </r>
  <r>
    <s v="0RD1053"/>
    <d v="2026-01-05T00:00:00"/>
    <s v="Naveen Kumar"/>
    <x v="38"/>
    <x v="47"/>
    <s v="Electronics"/>
    <n v="1"/>
    <x v="41"/>
    <n v="0.1"/>
    <s v="₹13,500"/>
    <s v="Credit Card"/>
  </r>
  <r>
    <s v="0RD1054"/>
    <s v="30-04-2026"/>
    <s v="Prakash Kumar"/>
    <x v="39"/>
    <x v="48"/>
    <s v="Electronics"/>
    <n v="4"/>
    <x v="42"/>
    <n v="0.05"/>
    <s v="₹7,500"/>
    <s v="Net Banking"/>
  </r>
  <r>
    <s v="0RD1055"/>
    <d v="2026-01-03T00:00:00"/>
    <s v="Ashok Singh"/>
    <x v="40"/>
    <x v="49"/>
    <s v="Electronics"/>
    <n v="2"/>
    <x v="43"/>
    <n v="0.12"/>
    <s v="₹10,500"/>
    <s v="Bank Transfer"/>
  </r>
  <r>
    <s v="0RD1056"/>
    <d v="2026-01-05T00:00:00"/>
    <s v="Santosh Kumar"/>
    <x v="41"/>
    <x v="50"/>
    <s v="Electronics"/>
    <n v="5"/>
    <x v="44"/>
    <n v="0.15"/>
    <s v="₹15,500"/>
    <s v="Cheque"/>
  </r>
  <r>
    <s v="0RD1057"/>
    <d v="2026-02-05T00:00:00"/>
    <s v="Dinesh Kumar"/>
    <x v="42"/>
    <x v="5"/>
    <s v="Electronics"/>
    <n v="3"/>
    <x v="45"/>
    <n v="0.08"/>
    <s v="₹9,500"/>
    <s v="Cash on Delivery"/>
  </r>
  <r>
    <s v="0RD1058"/>
    <d v="2026-03-05T00:00:00"/>
    <s v="Harsh Kumar"/>
    <x v="43"/>
    <x v="51"/>
    <s v="Electronics"/>
    <n v="2"/>
    <x v="46"/>
    <n v="0.1"/>
    <s v="₹12,000"/>
    <s v="Wallet"/>
  </r>
  <r>
    <s v="0RD1059"/>
    <s v="30-04-2026"/>
    <s v="Yash Singh"/>
    <x v="44"/>
    <x v="52"/>
    <s v="Electronics"/>
    <n v="1"/>
    <x v="47"/>
    <n v="0.05"/>
    <s v="₹6,500"/>
    <s v="EMI"/>
  </r>
  <r>
    <s v="0RD1060"/>
    <s v="31-05-2026"/>
    <s v="Varun Kumar"/>
    <x v="45"/>
    <x v="53"/>
    <s v="Electronics"/>
    <n v="4"/>
    <x v="48"/>
    <n v="0.12"/>
    <s v="₹14,000"/>
    <s v="Cash"/>
  </r>
  <r>
    <s v="0RD1061"/>
    <d v="2026-01-06T00:00:00"/>
    <s v="Sameer Singh"/>
    <x v="46"/>
    <x v="54"/>
    <s v="Electronics"/>
    <n v="6"/>
    <x v="49"/>
    <n v="0.1"/>
    <s v="₹8,000"/>
    <s v="UPI"/>
  </r>
  <r>
    <s v="0RD1062"/>
    <d v="2026-02-06T00:00:00"/>
    <s v="Rahul Sharma"/>
    <x v="47"/>
    <x v="55"/>
    <s v="Electronics"/>
    <n v="2"/>
    <x v="50"/>
    <n v="0.08"/>
    <s v="₹11,500"/>
    <s v="Debit Card"/>
  </r>
  <r>
    <s v="0RD1063"/>
    <d v="2026-03-06T00:00:00"/>
    <s v="Amit Kumar"/>
    <x v="48"/>
    <x v="56"/>
    <s v="Electronics"/>
    <n v="3"/>
    <x v="51"/>
    <n v="0.15"/>
    <s v="₹13,000"/>
    <s v="Credit Card"/>
  </r>
  <r>
    <s v="0RD1064"/>
    <d v="2026-04-06T00:00:00"/>
    <s v="Rohit Sharma"/>
    <x v="49"/>
    <x v="57"/>
    <s v="Electronics"/>
    <n v="1"/>
    <x v="52"/>
    <n v="0.05"/>
    <s v="₹7,000"/>
    <s v="Net Banking"/>
  </r>
  <r>
    <s v="0RD1065"/>
    <d v="2026-05-06T00:00:00"/>
    <s v="Saurav Kumar"/>
    <x v="50"/>
    <x v="58"/>
    <s v="Electronics"/>
    <n v="5"/>
    <x v="53"/>
    <n v="0.1"/>
    <s v="₹10,000"/>
    <s v="Bank Transfer"/>
  </r>
  <r>
    <s v="0RD1066"/>
    <d v="2026-06-06T00:00:00"/>
    <s v="Manoj Singh"/>
    <x v="51"/>
    <x v="59"/>
    <s v="Electronics"/>
    <n v="2"/>
    <x v="54"/>
    <n v="0.12"/>
    <s v="₹16,000"/>
    <s v="Cheque"/>
  </r>
  <r>
    <s v="0RD1067"/>
    <d v="2026-07-06T00:00:00"/>
    <s v="Rajiv Kumar"/>
    <x v="52"/>
    <x v="60"/>
    <s v="Electronics"/>
    <n v="4"/>
    <x v="55"/>
    <n v="0.08"/>
    <s v="₹9,000"/>
    <s v="Cash on Delivery"/>
  </r>
  <r>
    <s v="0RD1068"/>
    <d v="2026-08-06T00:00:00"/>
    <s v="Vikram Singh"/>
    <x v="53"/>
    <x v="61"/>
    <s v="Electronics"/>
    <n v="3"/>
    <x v="56"/>
    <n v="0.15"/>
    <s v="₹12,500"/>
    <s v="Wallet"/>
  </r>
  <r>
    <s v="0RD1069"/>
    <d v="2026-09-06T00:00:00"/>
    <s v="Ajay Kumar"/>
    <x v="54"/>
    <x v="62"/>
    <s v="Electronics"/>
    <n v="1"/>
    <x v="57"/>
    <n v="0.1"/>
    <s v="₹5,500"/>
    <s v="EMI"/>
  </r>
  <r>
    <s v="0RD1070"/>
    <d v="2026-10-06T00:00:00"/>
    <s v="Vijay Singh"/>
    <x v="55"/>
    <x v="63"/>
    <s v="Electronics"/>
    <n v="6"/>
    <x v="58"/>
    <n v="0.05"/>
    <s v="₹14,500"/>
    <s v="Cash"/>
  </r>
  <r>
    <s v="0RD1071"/>
    <d v="2026-11-06T00:00:00"/>
    <s v="Sanjay Kumar"/>
    <x v="56"/>
    <x v="64"/>
    <s v="Electronics"/>
    <n v="2"/>
    <x v="59"/>
    <n v="0.12"/>
    <s v="₹8,500"/>
    <s v="UPI"/>
  </r>
  <r>
    <s v="0RD1072"/>
    <d v="2026-12-06T00:00:00"/>
    <s v="Rajat Singh"/>
    <x v="57"/>
    <x v="65"/>
    <s v="Electronics"/>
    <n v="3"/>
    <x v="60"/>
    <n v="0.08"/>
    <s v="₹11,000"/>
    <s v="Debit Card"/>
  </r>
  <r>
    <s v="0RD1073"/>
    <s v="13-06-2026"/>
    <s v="Sumit Kumar"/>
    <x v="58"/>
    <x v="66"/>
    <s v="Electronics"/>
    <n v="5"/>
    <x v="61"/>
    <n v="0.1"/>
    <s v="₹13,500"/>
    <s v="Credit Card"/>
  </r>
  <r>
    <s v="0RD1074"/>
    <s v="14-06-2026"/>
    <s v="Anurag Singh"/>
    <x v="59"/>
    <x v="67"/>
    <s v="Electronics"/>
    <n v="1"/>
    <x v="62"/>
    <n v="0.15"/>
    <s v="₹7,500"/>
    <s v="Net Banking"/>
  </r>
  <r>
    <s v="0RD1075"/>
    <s v="15-06-2026"/>
    <s v="Mayank Kumar"/>
    <x v="60"/>
    <x v="68"/>
    <s v="Electronics"/>
    <n v="4"/>
    <x v="63"/>
    <n v="0.05"/>
    <s v="₹10,500"/>
    <s v="Bank Transfer"/>
  </r>
  <r>
    <s v="0RD1076"/>
    <s v="16-06-2026"/>
    <s v="Varun Singh"/>
    <x v="61"/>
    <x v="69"/>
    <s v="Electronics"/>
    <n v="2"/>
    <x v="64"/>
    <n v="0.1"/>
    <s v="₹15,000"/>
    <s v="Cheque"/>
  </r>
  <r>
    <s v="0RD1077"/>
    <s v="17-06-2026"/>
    <s v="Tushar Kumar"/>
    <x v="62"/>
    <x v="70"/>
    <s v="Electronics"/>
    <n v="3"/>
    <x v="65"/>
    <n v="0.12"/>
    <s v="₹9,500"/>
    <s v="Cash on Delivery"/>
  </r>
  <r>
    <s v="0RD1078"/>
    <s v="18-06-2026"/>
    <s v="Abhishek Kumar"/>
    <x v="63"/>
    <x v="71"/>
    <s v="Electronics"/>
    <n v="6"/>
    <x v="66"/>
    <n v="0.08"/>
    <s v="₹12,000"/>
    <s v="Wallet"/>
  </r>
  <r>
    <s v="0RD1079"/>
    <s v="19-06-2026"/>
    <s v="Alok Singh"/>
    <x v="64"/>
    <x v="72"/>
    <s v="Electronics"/>
    <n v="1"/>
    <x v="67"/>
    <n v="0.15"/>
    <s v="₹6,000"/>
    <s v="EMI"/>
  </r>
  <r>
    <s v="0RD1080"/>
    <s v="20-06-2026"/>
    <s v="Ritesh Kumar"/>
    <x v="65"/>
    <x v="73"/>
    <s v="Electronics"/>
    <n v="5"/>
    <x v="68"/>
    <n v="0.1"/>
    <s v="₹14,000"/>
    <s v="Cash"/>
  </r>
  <r>
    <s v="0RD1081"/>
    <s v="21-06-2026"/>
    <s v="Akhil Singh"/>
    <x v="66"/>
    <x v="74"/>
    <s v="Electronics"/>
    <n v="2"/>
    <x v="69"/>
    <n v="0.05"/>
    <s v="₹8,000"/>
    <s v="UPI"/>
  </r>
  <r>
    <s v="0RD1082"/>
    <s v="22-06-2026"/>
    <s v="Nikhil Kumar"/>
    <x v="67"/>
    <x v="75"/>
    <s v="Electronics"/>
    <n v="4"/>
    <x v="70"/>
    <n v="0.12"/>
    <s v="₹11,500"/>
    <s v="Debit Card"/>
  </r>
  <r>
    <s v="0RD1083"/>
    <s v="23-06-2026"/>
    <s v="Himanshu Singh"/>
    <x v="68"/>
    <x v="76"/>
    <s v="Electronics"/>
    <n v="3"/>
    <x v="71"/>
    <n v="0.08"/>
    <s v="₹13,000"/>
    <s v="Credit Card"/>
  </r>
  <r>
    <s v="0RD1084"/>
    <s v="24-06-2026"/>
    <s v="Rohan Kumar"/>
    <x v="69"/>
    <x v="77"/>
    <s v="Electronics"/>
    <n v="1"/>
    <x v="72"/>
    <n v="0.1"/>
    <s v="₹7,000"/>
    <s v="Net Banking"/>
  </r>
  <r>
    <s v="0RD1085"/>
    <s v="25-06-2026"/>
    <s v="Kunal Singh"/>
    <x v="70"/>
    <x v="78"/>
    <s v="Electronics"/>
    <n v="2"/>
    <x v="73"/>
    <n v="0.15"/>
    <s v="₹10,000"/>
    <s v="Bank Transfer"/>
  </r>
  <r>
    <s v="0RD1086"/>
    <s v="26-06-2026"/>
    <s v="Ashutosh Kumar"/>
    <x v="71"/>
    <x v="79"/>
    <s v="Electronics"/>
    <n v="5"/>
    <x v="74"/>
    <n v="0.05"/>
    <s v="₹16,500"/>
    <s v="Cheque"/>
  </r>
  <r>
    <s v="0RD1087"/>
    <s v="27-06-2026"/>
    <s v="Shashank Singh"/>
    <x v="72"/>
    <x v="80"/>
    <s v="Electronics"/>
    <n v="4"/>
    <x v="75"/>
    <n v="0.1"/>
    <s v="₹9,000"/>
    <s v="Cash on Delivery"/>
  </r>
  <r>
    <s v="0RD1088"/>
    <s v="28-06-2026"/>
    <s v="Neeraj Kumar"/>
    <x v="73"/>
    <x v="81"/>
    <s v="Electronics"/>
    <n v="3"/>
    <x v="76"/>
    <n v="0.12"/>
    <s v="₹12,500"/>
    <s v="Wallet"/>
  </r>
  <r>
    <s v="0RD1089"/>
    <s v="29-06-2026"/>
    <s v="Pankaj Singh"/>
    <x v="74"/>
    <x v="82"/>
    <s v="Electronics"/>
    <n v="6"/>
    <x v="30"/>
    <n v="0.08"/>
    <s v="₹6,500"/>
    <s v="EMI"/>
  </r>
  <r>
    <s v="0RD1090"/>
    <s v="30-06-2026"/>
    <s v="Rajeev Kumar"/>
    <x v="75"/>
    <x v="83"/>
    <s v="Electronics"/>
    <n v="2"/>
    <x v="77"/>
    <n v="0.15"/>
    <s v="₹14,500"/>
    <s v="Cash"/>
  </r>
  <r>
    <s v="0RD1091"/>
    <m/>
    <s v="Pradeep Singh"/>
    <x v="76"/>
    <x v="84"/>
    <s v="Electronics"/>
    <n v="1"/>
    <x v="78"/>
    <n v="0.1"/>
    <s v="₹8,500"/>
    <s v="UPI"/>
  </r>
  <r>
    <s v="0RD1092"/>
    <d v="2026-01-07T00:00:00"/>
    <s v="Sandeep Kumar"/>
    <x v="77"/>
    <x v="85"/>
    <s v="Electronics"/>
    <n v="4"/>
    <x v="28"/>
    <n v="0.05"/>
    <s v="₹11,000"/>
    <s v="Debit Card"/>
  </r>
  <r>
    <s v="0RD1093"/>
    <d v="2026-02-07T00:00:00"/>
    <s v="Tarun Singh"/>
    <x v="78"/>
    <x v="86"/>
    <s v="Electronics"/>
    <n v="3"/>
    <x v="79"/>
    <n v="0.08"/>
    <s v="₹13,500"/>
    <s v="Credit Card"/>
  </r>
  <r>
    <s v="0RD1094"/>
    <d v="2026-03-07T00:00:00"/>
    <s v="Naveen Kumar"/>
    <x v="79"/>
    <x v="87"/>
    <s v="Electronics"/>
    <n v="5"/>
    <x v="80"/>
    <n v="0.12"/>
    <s v="₹7,500"/>
    <s v="Net Banking"/>
  </r>
  <r>
    <s v="0RD1095"/>
    <d v="2026-04-07T00:00:00"/>
    <s v="Kapil Singh"/>
    <x v="80"/>
    <x v="88"/>
    <s v="Electronics"/>
    <n v="2"/>
    <x v="81"/>
    <n v="0.15"/>
    <s v="₹10,500"/>
    <s v="Bank Transfer"/>
  </r>
  <r>
    <s v="0RD1096"/>
    <d v="2026-05-07T00:00:00"/>
    <s v="Dharmendra Kumar"/>
    <x v="81"/>
    <x v="89"/>
    <s v="Electronics"/>
    <n v="1"/>
    <x v="82"/>
    <n v="0.1"/>
    <s v="₹15,500"/>
    <s v="Cheque"/>
  </r>
  <r>
    <s v="0RD1097"/>
    <d v="2026-06-07T00:00:00"/>
    <s v="Shubham Singh"/>
    <x v="82"/>
    <x v="90"/>
    <s v="Electronics"/>
    <n v="6"/>
    <x v="83"/>
    <n v="0.05"/>
    <s v="₹9,500"/>
    <s v="Cash on Delivery"/>
  </r>
  <r>
    <s v="0RD1098"/>
    <d v="2026-07-07T00:00:00"/>
    <s v="Harish Kumar"/>
    <x v="83"/>
    <x v="91"/>
    <s v="Electronics"/>
    <n v="3"/>
    <x v="84"/>
    <n v="0.12"/>
    <s v="₹12,000"/>
    <s v="Wallet"/>
  </r>
  <r>
    <s v="0RD1099"/>
    <d v="2026-08-07T00:00:00"/>
    <s v="Manish Singh"/>
    <x v="84"/>
    <x v="92"/>
    <s v="Electronics"/>
    <n v="4"/>
    <x v="85"/>
    <n v="0.08"/>
    <s v="₹6,000"/>
    <s v="EMI"/>
  </r>
  <r>
    <s v="0RD1100"/>
    <d v="2026-09-07T00:00:00"/>
    <s v="Yogesh Kumar"/>
    <x v="85"/>
    <x v="93"/>
    <s v="Electronics"/>
    <n v="2"/>
    <x v="86"/>
    <n v="0.1"/>
    <s v="₹14,000"/>
    <s v="Cash"/>
  </r>
  <r>
    <s v="0RD1101"/>
    <d v="2026-10-07T00:00:00"/>
    <s v="Devendra Singh"/>
    <x v="86"/>
    <x v="11"/>
    <s v="Electronics"/>
    <n v="5"/>
    <x v="17"/>
    <n v="0.15"/>
    <s v="₹8,000"/>
    <s v="UPI"/>
  </r>
  <r>
    <s v="0RD1102"/>
    <d v="2026-11-07T00:00:00"/>
    <s v="Atul Kumar"/>
    <x v="87"/>
    <x v="94"/>
    <s v="Electronics"/>
    <n v="1"/>
    <x v="87"/>
    <n v="0.05"/>
    <s v="₹11,500"/>
    <s v="Debit Card"/>
  </r>
  <r>
    <s v="0RD1103"/>
    <d v="2026-12-07T00:00:00"/>
    <s v="Ankit Singh"/>
    <x v="88"/>
    <x v="95"/>
    <s v="Electronics"/>
    <n v="3"/>
    <x v="88"/>
    <n v="0.1"/>
    <s v="₹13,000"/>
    <s v="Credit Card"/>
  </r>
  <r>
    <s v="0RD1104"/>
    <s v="13-07-2026"/>
    <s v="Gaurav Kumar"/>
    <x v="89"/>
    <x v="96"/>
    <s v="Electronics"/>
    <n v="2"/>
    <x v="89"/>
    <n v="0.08"/>
    <s v="₹7,000"/>
    <s v="Net Banking"/>
  </r>
  <r>
    <s v="0RD1105"/>
    <s v="14-07-2026"/>
    <s v="Krishna Singh"/>
    <x v="90"/>
    <x v="97"/>
    <s v="Electronics"/>
    <n v="4"/>
    <x v="90"/>
    <n v="0.12"/>
    <s v="₹10,000"/>
    <s v="Bank Transfer"/>
  </r>
  <r>
    <s v="0RD1106"/>
    <s v="15-07-2026"/>
    <s v="Siddharth Kumar"/>
    <x v="91"/>
    <x v="98"/>
    <s v="Electronics"/>
    <n v="6"/>
    <x v="91"/>
    <n v="0.15"/>
    <s v="₹16,000"/>
    <s v="Cheque"/>
  </r>
  <r>
    <s v="0RD1107"/>
    <s v="16-07-2026"/>
    <s v="Abhinav Singh"/>
    <x v="92"/>
    <x v="99"/>
    <s v="Electronics"/>
    <n v="1"/>
    <x v="5"/>
    <n v="0.1"/>
    <s v="₹9,000"/>
    <s v="Cash on Delivery"/>
  </r>
  <r>
    <s v="0RD1108"/>
    <s v="17-07-2026"/>
    <s v="Lokesh Kumar"/>
    <x v="93"/>
    <x v="100"/>
    <s v="Electronics"/>
    <n v="5"/>
    <x v="92"/>
    <n v="0.05"/>
    <s v="₹12,500"/>
    <s v="Wallet"/>
  </r>
  <r>
    <s v="0RD1109"/>
    <s v="18-07-2026"/>
    <s v="Arvind Singh"/>
    <x v="94"/>
    <x v="101"/>
    <s v="Electronics"/>
    <n v="3"/>
    <x v="93"/>
    <n v="0.08"/>
    <s v="₹5,500"/>
    <s v="EMI"/>
  </r>
  <r>
    <s v="0RD1110"/>
    <s v="19-07-2026"/>
    <s v="Keshav Kumar"/>
    <x v="95"/>
    <x v="102"/>
    <s v="Electronics"/>
    <n v="2"/>
    <x v="94"/>
    <n v="0.12"/>
    <s v="₹14,500"/>
    <s v="Cash"/>
  </r>
  <r>
    <s v="0RD1111"/>
    <s v="20-07-2026"/>
    <s v="Hemant Singh"/>
    <x v="96"/>
    <x v="103"/>
    <s v="Electronics"/>
    <n v="4"/>
    <x v="12"/>
    <n v="0.1"/>
    <s v="₹8,500"/>
    <s v="UPI"/>
  </r>
  <r>
    <s v="0RD1112"/>
    <s v="21-07-2026"/>
    <s v="Adarsh Kumar"/>
    <x v="97"/>
    <x v="104"/>
    <s v="Electronics"/>
    <n v="1"/>
    <x v="38"/>
    <n v="0.15"/>
    <s v="₹11,000"/>
    <s v="Debit Card"/>
  </r>
  <r>
    <s v="0RD1113"/>
    <s v="22-07-2026"/>
    <s v="Abhay Singh"/>
    <x v="98"/>
    <x v="105"/>
    <s v="Electronics"/>
    <n v="6"/>
    <x v="60"/>
    <n v="0.05"/>
    <s v="₹13,500"/>
    <s v="Credit Card"/>
  </r>
  <r>
    <s v="0RD1114"/>
    <s v="23-07-2026"/>
    <s v="Amar Kumar"/>
    <x v="99"/>
    <x v="106"/>
    <s v="Electronics"/>
    <n v="2"/>
    <x v="95"/>
    <n v="0.12"/>
    <s v="₹7,500"/>
    <s v="Net Banking"/>
  </r>
  <r>
    <s v="0RD1115"/>
    <s v="24-07-2026"/>
    <s v="Anmol Singh"/>
    <x v="100"/>
    <x v="107"/>
    <s v="Electronics"/>
    <n v="3"/>
    <x v="41"/>
    <n v="0.08"/>
    <s v="₹10,500"/>
    <s v="Bank Transfer"/>
  </r>
  <r>
    <s v="0RD1116"/>
    <s v="25-07-2026"/>
    <s v="Aryan Kumar"/>
    <x v="101"/>
    <x v="9"/>
    <s v="Electronics"/>
    <n v="5"/>
    <x v="96"/>
    <n v="0.1"/>
    <s v="₹15,000"/>
    <s v="Cheque"/>
  </r>
  <r>
    <s v="0RD1117"/>
    <s v="26-07-2026"/>
    <s v="Ayush Singh"/>
    <x v="102"/>
    <x v="108"/>
    <s v="Electronics"/>
    <n v="4"/>
    <x v="47"/>
    <n v="0.15"/>
    <s v="₹9,500"/>
    <s v="Cash on Delivery"/>
  </r>
  <r>
    <s v="0RD1118"/>
    <s v="27-07-2026"/>
    <s v="Bharat Kumar"/>
    <x v="103"/>
    <x v="109"/>
    <s v="Electronics"/>
    <n v="1"/>
    <x v="44"/>
    <n v="0.05"/>
    <s v="₹12,000"/>
    <s v="Wallet"/>
  </r>
  <r>
    <s v="0RD1119"/>
    <s v="28-07-2026"/>
    <s v="Bhanu Singh"/>
    <x v="104"/>
    <x v="110"/>
    <s v="Electronics"/>
    <n v="2"/>
    <x v="54"/>
    <n v="0.1"/>
    <s v="₹6,500"/>
    <s v="EMI"/>
  </r>
  <r>
    <s v="0RD1120"/>
    <s v="29-07-2026"/>
    <s v="Chetan Kumar"/>
    <x v="105"/>
    <x v="21"/>
    <s v="Electronics"/>
    <n v="6"/>
    <x v="34"/>
    <n v="0.12"/>
    <s v="₹14,000"/>
    <s v="Cash"/>
  </r>
  <r>
    <s v="0RD1121"/>
    <s v="30-07-2026"/>
    <s v="Chirag Singh"/>
    <x v="106"/>
    <x v="111"/>
    <s v="Electronics"/>
    <n v="3"/>
    <x v="68"/>
    <n v="0.08"/>
    <s v="₹8,000"/>
    <s v="UPI"/>
  </r>
  <r>
    <s v="0RD1122"/>
    <s v="31-07-2026"/>
    <s v="Dheeraj Kumar"/>
    <x v="107"/>
    <x v="112"/>
    <s v="Electronics"/>
    <n v="5"/>
    <x v="24"/>
    <n v="0.15"/>
    <s v="₹11,500"/>
    <s v="Debit Card"/>
  </r>
  <r>
    <s v="0RD1123"/>
    <m/>
    <s v="Faizan Khan"/>
    <x v="108"/>
    <x v="113"/>
    <s v="Electronics"/>
    <n v="2"/>
    <x v="53"/>
    <n v="0.1"/>
    <s v="₹13,000"/>
    <s v="Credit Card"/>
  </r>
  <r>
    <s v="0RD1124"/>
    <d v="2026-01-08T00:00:00"/>
    <s v="Gautam Singh"/>
    <x v="109"/>
    <x v="114"/>
    <s v="Electronics"/>
    <n v="4"/>
    <x v="35"/>
    <n v="0.05"/>
    <s v="₹7,000"/>
    <s v="Net Banking"/>
  </r>
  <r>
    <s v="0RD1125"/>
    <d v="2026-02-08T00:00:00"/>
    <s v="Ishan Kumar"/>
    <x v="110"/>
    <x v="115"/>
    <s v="Electronics"/>
    <n v="1"/>
    <x v="43"/>
    <n v="0.12"/>
    <s v="₹10,000"/>
    <s v="Bank Transfer"/>
  </r>
  <r>
    <s v="0RD1126"/>
    <d v="2026-03-08T00:00:00"/>
    <s v="Jatin Singh"/>
    <x v="111"/>
    <x v="116"/>
    <s v="Electronics"/>
    <n v="3"/>
    <x v="36"/>
    <n v="0.08"/>
    <s v="₹16,500"/>
    <s v="Cheque"/>
  </r>
  <r>
    <s v="0RD1127"/>
    <d v="2026-04-08T00:00:00"/>
    <s v="Jayant Kumar"/>
    <x v="112"/>
    <x v="117"/>
    <s v="Electronics"/>
    <n v="6"/>
    <x v="45"/>
    <n v="0.1"/>
    <s v="₹9,000"/>
    <s v="Cash on Delivery"/>
  </r>
  <r>
    <s v="0RD1128"/>
    <d v="2026-05-08T00:00:00"/>
    <s v="Karan Kumar"/>
    <x v="113"/>
    <x v="118"/>
    <s v="Electronics"/>
    <n v="2"/>
    <x v="46"/>
    <n v="0.15"/>
    <s v="₹12,500"/>
    <s v="Wallet"/>
  </r>
  <r>
    <s v="0RD1129"/>
    <d v="2026-06-08T00:00:00"/>
    <s v="Kartik Singh"/>
    <x v="114"/>
    <x v="119"/>
    <s v="Electronics"/>
    <n v="5"/>
    <x v="97"/>
    <n v="0.05"/>
    <s v="₹6,000"/>
    <s v="EMI"/>
  </r>
  <r>
    <s v="0RD1130"/>
    <d v="2026-07-08T00:00:00"/>
    <s v="Lalit Kumar"/>
    <x v="115"/>
    <x v="120"/>
    <s v="Electronics"/>
    <n v="4"/>
    <x v="49"/>
    <n v="0.1"/>
    <s v="₹14,500"/>
    <s v="Cash"/>
  </r>
  <r>
    <s v="0RD1131"/>
    <d v="2026-08-08T00:00:00"/>
    <s v="Madhav Singh"/>
    <x v="116"/>
    <x v="121"/>
    <s v="Electronics"/>
    <n v="1"/>
    <x v="63"/>
    <n v="0.12"/>
    <s v="₹8,500"/>
    <s v="UPI"/>
  </r>
  <r>
    <s v="0RD1132"/>
    <d v="2026-09-08T00:00:00"/>
    <s v="Mahesh Kumar"/>
    <x v="117"/>
    <x v="122"/>
    <s v="Electronics"/>
    <n v="3"/>
    <x v="61"/>
    <n v="0.08"/>
    <s v="₹11,000"/>
    <s v="Debit Card"/>
  </r>
  <r>
    <s v="0RD1133"/>
    <d v="2026-10-08T00:00:00"/>
    <s v="Naman Singh"/>
    <x v="118"/>
    <x v="8"/>
    <s v="Electronics"/>
    <n v="2"/>
    <x v="58"/>
    <n v="0.15"/>
    <s v="₹13,500"/>
    <s v="Credit Card"/>
  </r>
  <r>
    <s v="0RD1134"/>
    <d v="2026-11-08T00:00:00"/>
    <s v="Naveen Singh"/>
    <x v="119"/>
    <x v="123"/>
    <s v="Electronics"/>
    <n v="6"/>
    <x v="32"/>
    <n v="0.1"/>
    <s v="₹7,500"/>
    <s v="Net Banking"/>
  </r>
  <r>
    <s v="0RD1135"/>
    <d v="2026-12-08T00:00:00"/>
    <s v="Piyush Kumar"/>
    <x v="120"/>
    <x v="124"/>
    <s v="Electronics"/>
    <n v="4"/>
    <x v="59"/>
    <n v="0.05"/>
    <s v="₹10,500"/>
    <s v="Bank Transfer"/>
  </r>
  <r>
    <s v="0RD1136"/>
    <s v="13-08-2026"/>
    <s v="Pranav Singh"/>
    <x v="121"/>
    <x v="125"/>
    <s v="Electronics"/>
    <n v="5"/>
    <x v="62"/>
    <n v="0.08"/>
    <s v="₹15,500"/>
    <s v="Cheque"/>
  </r>
  <r>
    <s v="0RD1137"/>
    <s v="14-08-2026"/>
    <s v="Rahul Singh"/>
    <x v="122"/>
    <x v="126"/>
    <s v="Electronics"/>
    <n v="1"/>
    <x v="17"/>
    <n v="0.12"/>
    <s v="₹9,500"/>
    <s v="Cash on Delivery"/>
  </r>
  <r>
    <s v="0RD1138"/>
    <s v="15-08-2026"/>
    <s v="Rishabh Kumar"/>
    <x v="123"/>
    <x v="127"/>
    <s v="Electronics"/>
    <n v="2"/>
    <x v="18"/>
    <n v="0.15"/>
    <s v="₹12,000"/>
    <s v="Wallet"/>
  </r>
  <r>
    <s v="0RD1139"/>
    <s v="16-08-2026"/>
    <s v="Ritik Singh"/>
    <x v="124"/>
    <x v="128"/>
    <s v="Electronics"/>
    <n v="3"/>
    <x v="65"/>
    <n v="0.1"/>
    <s v="₹6,500"/>
    <s v="EMI"/>
  </r>
  <r>
    <s v="0RD1140"/>
    <s v="17-08-2026"/>
    <s v="Rituraj Kumar"/>
    <x v="125"/>
    <x v="129"/>
    <s v="Electronics"/>
    <n v="6"/>
    <x v="73"/>
    <n v="0.05"/>
    <s v="₹14,000"/>
    <s v="Cash"/>
  </r>
  <r>
    <s v="0RD1141"/>
    <s v="18-08-2026"/>
    <s v="Sachin Kumar"/>
    <x v="126"/>
    <x v="130"/>
    <s v="Electronics"/>
    <n v="4"/>
    <x v="39"/>
    <n v="0.12"/>
    <s v="₹8,000"/>
    <s v="UPI"/>
  </r>
  <r>
    <s v="0RD1142"/>
    <s v="19-08-2026"/>
    <s v="Samar Singh"/>
    <x v="127"/>
    <x v="131"/>
    <s v="Electronics"/>
    <n v="1"/>
    <x v="52"/>
    <n v="0.08"/>
    <s v="₹11,500"/>
    <s v="Debit Card"/>
  </r>
  <r>
    <s v="0RD1143"/>
    <s v="20-08-2026"/>
    <s v="Sameer Kumar"/>
    <x v="128"/>
    <x v="132"/>
    <s v="Electronics"/>
    <n v="5"/>
    <x v="76"/>
    <n v="0.1"/>
    <s v="₹13,000"/>
    <s v="Credit Card"/>
  </r>
  <r>
    <s v="0RD1144"/>
    <s v="21-08-2026"/>
    <s v="Shailesh Singh"/>
    <x v="129"/>
    <x v="17"/>
    <s v="Electronics"/>
    <n v="2"/>
    <x v="51"/>
    <n v="0.15"/>
    <s v="₹7,000"/>
    <s v="Net Banking"/>
  </r>
  <r>
    <s v="0RD1145"/>
    <s v="22-08-2026"/>
    <s v="Shivam Kumar"/>
    <x v="130"/>
    <x v="133"/>
    <s v="Electronics"/>
    <n v="3"/>
    <x v="56"/>
    <n v="0.05"/>
    <s v="₹10,000"/>
    <s v="Bank Transfer"/>
  </r>
  <r>
    <s v="0RD1146"/>
    <s v="23-08-2026"/>
    <s v="Shreyas Singh"/>
    <x v="109"/>
    <x v="134"/>
    <s v="Electronics"/>
    <n v="4"/>
    <x v="78"/>
    <n v="0.1"/>
    <s v="₹16,000"/>
    <s v="Cheque"/>
  </r>
  <r>
    <s v="0RD1147"/>
    <s v="24-08-2026"/>
    <s v="Sonu Kumar"/>
    <x v="131"/>
    <x v="135"/>
    <s v="Electronics"/>
    <n v="6"/>
    <x v="33"/>
    <n v="0.08"/>
    <s v="₹9,000"/>
    <s v="Cash on Delivery"/>
  </r>
  <r>
    <s v="0RD1148"/>
    <s v="25-08-2026"/>
    <s v="Tejas Singh"/>
    <x v="132"/>
    <x v="136"/>
    <s v="Electronics"/>
    <n v="1"/>
    <x v="30"/>
    <n v="0.12"/>
    <s v="₹12,500"/>
    <s v="Wallet"/>
  </r>
  <r>
    <s v="0RD1149"/>
    <s v="26-08-2026"/>
    <s v="Ujjwal Kumar"/>
    <x v="133"/>
    <x v="137"/>
    <s v="Electronics"/>
    <n v="2"/>
    <x v="80"/>
    <n v="0.15"/>
    <s v="₹5,500"/>
    <s v="EMI"/>
  </r>
  <r>
    <s v="0RD1150"/>
    <s v="27-08-2026"/>
    <s v="Utkarsh Singh"/>
    <x v="134"/>
    <x v="138"/>
    <s v="Electronics"/>
    <n v="5"/>
    <x v="79"/>
    <n v="0.1"/>
    <s v="₹14,500"/>
    <s v="Cash"/>
  </r>
  <r>
    <s v="0RD1151"/>
    <s v="28-08-2026"/>
    <s v="Vaibhav Kumar"/>
    <x v="135"/>
    <x v="139"/>
    <s v="Electronics"/>
    <n v="3"/>
    <x v="27"/>
    <n v="0.05"/>
    <s v="₹8,500"/>
    <s v="UPI"/>
  </r>
  <r>
    <s v="0RD1152"/>
    <s v="29-08-2026"/>
    <s v="Varun Kumar"/>
    <x v="136"/>
    <x v="140"/>
    <s v="Electronics"/>
    <n v="4"/>
    <x v="84"/>
    <n v="0.12"/>
    <s v="₹11,000"/>
    <s v="Debit Card"/>
  </r>
  <r>
    <s v="0RD1153"/>
    <s v="30-08-2026"/>
    <s v="Vedant Singh"/>
    <x v="137"/>
    <x v="141"/>
    <s v="Electronics"/>
    <n v="1"/>
    <x v="74"/>
    <n v="0.08"/>
    <s v="₹13,500"/>
    <s v="Credit Card"/>
  </r>
  <r>
    <s v="0RD1154"/>
    <s v="31-08-2026"/>
    <s v="Vishal Kumar"/>
    <x v="138"/>
    <x v="142"/>
    <s v="Electronics"/>
    <n v="6"/>
    <x v="69"/>
    <n v="0.15"/>
    <s v="₹7,500"/>
    <s v="Net Banking"/>
  </r>
  <r>
    <s v="0RD1155"/>
    <d v="2026-04-09T00:00:00"/>
    <s v="Yuvraj Singh"/>
    <x v="139"/>
    <x v="143"/>
    <s v="Electronics"/>
    <n v="2"/>
    <x v="67"/>
    <n v="0.1"/>
    <s v="₹10,500"/>
    <s v="Bank Transfer"/>
  </r>
  <r>
    <s v="0RD1156"/>
    <d v="2026-01-09T00:00:00"/>
    <s v="Zaid Khan"/>
    <x v="140"/>
    <x v="144"/>
    <s v="Electronics"/>
    <n v="5"/>
    <x v="71"/>
    <n v="0.05"/>
    <s v="₹15,000"/>
    <s v="Cheque"/>
  </r>
  <r>
    <s v="0RD1157"/>
    <d v="2026-02-09T00:00:00"/>
    <s v="Arman Kumar"/>
    <x v="141"/>
    <x v="145"/>
    <s v="Electronics"/>
    <n v="3"/>
    <x v="82"/>
    <n v="0.12"/>
    <s v="₹9,500"/>
    <s v="Cash on Delivery"/>
  </r>
  <r>
    <s v="0RD1158"/>
    <d v="2026-03-09T00:00:00"/>
    <s v="Danish Singh"/>
    <x v="142"/>
    <x v="146"/>
    <s v="Electronics"/>
    <n v="1"/>
    <x v="70"/>
    <n v="0.08"/>
    <s v="₹12,000"/>
    <s v="Wallet"/>
  </r>
  <r>
    <s v="0RD1159"/>
    <d v="2026-04-09T00:00:00"/>
    <s v="Faheem Khan"/>
    <x v="143"/>
    <x v="147"/>
    <s v="Electronics"/>
    <n v="4"/>
    <x v="64"/>
    <n v="0.1"/>
    <s v="₹6,000"/>
    <s v="EMI"/>
  </r>
  <r>
    <s v="0RD1160"/>
    <d v="2026-05-09T00:00:00"/>
    <s v="Imran Kumar"/>
    <x v="144"/>
    <x v="148"/>
    <s v="Electronics"/>
    <n v="2"/>
    <x v="98"/>
    <n v="0.15"/>
    <s v="₹14,000"/>
    <s v="Cash"/>
  </r>
  <r>
    <s v="0RD1161"/>
    <d v="2026-06-09T00:00:00"/>
    <s v="Salman Khan"/>
    <x v="145"/>
    <x v="149"/>
    <s v="Electronics"/>
    <n v="6"/>
    <x v="96"/>
    <n v="0.05"/>
    <s v="₹8,000"/>
    <s v="UPI"/>
  </r>
  <r>
    <s v="0RD1162"/>
    <d v="2026-07-09T00:00:00"/>
    <s v="Priya Sharma"/>
    <x v="146"/>
    <x v="150"/>
    <s v="Electronics"/>
    <n v="3"/>
    <x v="42"/>
    <n v="0.1"/>
    <s v="₹11,500"/>
    <s v="Debit Card"/>
  </r>
  <r>
    <s v="0RD1163"/>
    <d v="2026-08-09T00:00:00"/>
    <s v="Neha Kumari"/>
    <x v="147"/>
    <x v="151"/>
    <s v="Electronics"/>
    <n v="5"/>
    <x v="72"/>
    <n v="0.12"/>
    <s v="₹13,000"/>
    <s v="Credit Card"/>
  </r>
  <r>
    <s v="0RD1164"/>
    <d v="2026-09-09T00:00:00"/>
    <s v="Pooja Singh"/>
    <x v="148"/>
    <x v="12"/>
    <s v="Electronics"/>
    <n v="1"/>
    <x v="94"/>
    <n v="0.08"/>
    <s v="₹7,000"/>
    <s v="Net Banking"/>
  </r>
  <r>
    <s v="0RD1165"/>
    <d v="2026-10-09T00:00:00"/>
    <s v="Anjali Kumari"/>
    <x v="149"/>
    <x v="13"/>
    <s v="Electronics"/>
    <n v="4"/>
    <x v="81"/>
    <n v="0.15"/>
    <s v="₹10,000"/>
    <s v="Bank Transfer"/>
  </r>
  <r>
    <s v="0RD1166"/>
    <d v="2026-11-09T00:00:00"/>
    <s v="Riya Sharma"/>
    <x v="150"/>
    <x v="152"/>
    <s v="Electronics"/>
    <n v="2"/>
    <x v="86"/>
    <n v="0.1"/>
    <s v="₹16,500"/>
    <s v="Cheque"/>
  </r>
  <r>
    <s v="0RD1167"/>
    <d v="2026-12-09T00:00:00"/>
    <s v="Sneha Singh"/>
    <x v="151"/>
    <x v="153"/>
    <s v="Electronics"/>
    <n v="3"/>
    <x v="5"/>
    <n v="0.05"/>
    <s v="₹9,000"/>
    <s v="Cash on Delivery"/>
  </r>
  <r>
    <s v="0RD1168"/>
    <s v="13-09-2026"/>
    <s v="Simran Kumari"/>
    <x v="152"/>
    <x v="154"/>
    <s v="Electronics"/>
    <n v="6"/>
    <x v="6"/>
    <n v="0.12"/>
    <s v="₹12,500"/>
    <s v="Wallet"/>
  </r>
  <r>
    <s v="0RD1169"/>
    <s v="14-09-2026"/>
    <s v="Komal Sharma"/>
    <x v="153"/>
    <x v="24"/>
    <s v="Electronics"/>
    <n v="5"/>
    <x v="25"/>
    <n v="0.08"/>
    <s v="₹6,500"/>
    <s v="EMI"/>
  </r>
  <r>
    <s v="0RD1170"/>
    <s v="15-09-2026"/>
    <s v="Kajal Singh"/>
    <x v="154"/>
    <x v="155"/>
    <s v="Electronics"/>
    <n v="1"/>
    <x v="57"/>
    <n v="0.1"/>
    <s v="₹14,500"/>
    <s v="Cash"/>
  </r>
  <r>
    <s v="0RD1171"/>
    <s v="16-09-2026"/>
    <s v="Nisha Kumari"/>
    <x v="155"/>
    <x v="23"/>
    <s v="Electronics"/>
    <n v="2"/>
    <x v="77"/>
    <n v="0.15"/>
    <s v="₹8,500"/>
    <s v="UPI"/>
  </r>
  <r>
    <s v="0RD1172"/>
    <s v="17-09-2026"/>
    <s v="Swati Sharma"/>
    <x v="156"/>
    <x v="156"/>
    <s v="Electronics"/>
    <n v="4"/>
    <x v="28"/>
    <n v="0.05"/>
    <s v="₹11,000"/>
    <s v="Debit Card"/>
  </r>
  <r>
    <s v="0RD1173"/>
    <s v="18-09-2026"/>
    <s v="Shivani Singh"/>
    <x v="157"/>
    <x v="157"/>
    <s v="Electronics"/>
    <n v="3"/>
    <x v="27"/>
    <n v="0.1"/>
    <s v="₹13,500"/>
    <s v="Credit Card"/>
  </r>
  <r>
    <s v="0RD1174"/>
    <s v="19-09-2026"/>
    <s v="Sakshi Kumari"/>
    <x v="158"/>
    <x v="158"/>
    <s v="Electronics"/>
    <n v="5"/>
    <x v="25"/>
    <n v="0.12"/>
    <s v="₹7,500"/>
    <s v="Net Banking"/>
  </r>
  <r>
    <s v="0RD1175"/>
    <s v="20-09-2026"/>
    <s v="Aarti Sharma"/>
    <x v="159"/>
    <x v="159"/>
    <s v="Electronics"/>
    <n v="6"/>
    <x v="26"/>
    <n v="0.08"/>
    <s v="₹10,500"/>
    <s v="Bank Transfer"/>
  </r>
  <r>
    <s v="0RD1176"/>
    <s v="21-09-2026"/>
    <s v="Sonam Singh"/>
    <x v="160"/>
    <x v="160"/>
    <s v="Electronics"/>
    <n v="2"/>
    <x v="27"/>
    <n v="0.15"/>
    <s v="₹15,500"/>
    <s v="Cheque"/>
  </r>
  <r>
    <s v="0RD1177"/>
    <s v="22-09-2026"/>
    <s v="Anushka Kumari"/>
    <x v="161"/>
    <x v="161"/>
    <s v="Electronics"/>
    <n v="1"/>
    <x v="28"/>
    <n v="0.1"/>
    <s v="₹9,500"/>
    <s v="Cash on Delivery"/>
  </r>
  <r>
    <s v="0RD1178"/>
    <s v="23-09-2026"/>
    <s v="Muskan Sharma"/>
    <x v="162"/>
    <x v="162"/>
    <s v="Electronics"/>
    <n v="4"/>
    <x v="18"/>
    <n v="0.05"/>
    <s v="₹12,000"/>
    <s v="Wallet"/>
  </r>
  <r>
    <s v="0RD1179"/>
    <s v="24-09-2026"/>
    <s v="Payal Singh"/>
    <x v="163"/>
    <x v="22"/>
    <s v="Electronics"/>
    <n v="3"/>
    <x v="5"/>
    <n v="0.08"/>
    <s v="₹6,000"/>
    <s v="EMI"/>
  </r>
  <r>
    <s v="0RD1180"/>
    <s v="25-09-2026"/>
    <s v="Khushi Kumari"/>
    <x v="164"/>
    <x v="163"/>
    <s v="Electronics"/>
    <n v="5"/>
    <x v="29"/>
    <n v="0.12"/>
    <s v="₹14,000"/>
    <s v="Cash"/>
  </r>
  <r>
    <s v="0RD1181"/>
    <s v="26-09-2026"/>
    <s v="Shreya Sharma"/>
    <x v="165"/>
    <x v="164"/>
    <s v="Electronics"/>
    <n v="2"/>
    <x v="30"/>
    <n v="0.15"/>
    <s v="₹8,000"/>
    <s v="UPI"/>
  </r>
  <r>
    <s v="0RD1182"/>
    <s v="27-09-2026"/>
    <s v="Preeti Singh"/>
    <x v="166"/>
    <x v="165"/>
    <s v="Electronics"/>
    <n v="6"/>
    <x v="6"/>
    <n v="0.1"/>
    <s v="₹11,500"/>
    <s v="Debit Card"/>
  </r>
  <r>
    <s v="0RD1183"/>
    <s v="28-09-2026"/>
    <s v="Divya Kumari"/>
    <x v="167"/>
    <x v="166"/>
    <s v="Electronics"/>
    <n v="1"/>
    <x v="17"/>
    <n v="0.05"/>
    <s v="₹13,000"/>
    <s v="Credit Card"/>
  </r>
  <r>
    <s v="0RD1184"/>
    <s v="29-09-2026"/>
    <s v="Nandini Sharma"/>
    <x v="168"/>
    <x v="167"/>
    <s v="Electronics"/>
    <n v="4"/>
    <x v="12"/>
    <n v="0.12"/>
    <s v="₹7,000"/>
    <s v="Net Banking"/>
  </r>
  <r>
    <s v="0RD1185"/>
    <s v="30-09-2026"/>
    <s v="Pallavi Singh"/>
    <x v="169"/>
    <x v="20"/>
    <s v="Electronics"/>
    <n v="3"/>
    <x v="31"/>
    <n v="0.08"/>
    <s v="₹10,000"/>
    <s v="Bank Transfer"/>
  </r>
  <r>
    <s v="0RD1186"/>
    <s v="29-09-2026"/>
    <s v="Jyoti Kumari"/>
    <x v="170"/>
    <x v="168"/>
    <s v="Electronics"/>
    <n v="2"/>
    <x v="32"/>
    <n v="0.1"/>
    <s v="₹16,000"/>
    <s v="Cheque"/>
  </r>
  <r>
    <s v="0RD1187"/>
    <d v="2026-01-10T00:00:00"/>
    <s v="Rani Sharma"/>
    <x v="171"/>
    <x v="169"/>
    <s v="Electronics"/>
    <n v="5"/>
    <x v="33"/>
    <n v="0.15"/>
    <s v="₹9,000"/>
    <s v="Cash on Delivery"/>
  </r>
  <r>
    <s v="0RD1188"/>
    <d v="2026-02-10T00:00:00"/>
    <s v="Tanya Singh"/>
    <x v="172"/>
    <x v="170"/>
    <s v="Electronics"/>
    <n v="1"/>
    <x v="34"/>
    <n v="0.05"/>
    <s v="₹12,500"/>
    <s v="Wallet"/>
  </r>
  <r>
    <s v="0RD1189"/>
    <d v="2026-03-10T00:00:00"/>
    <s v="Ritu Kumari"/>
    <x v="173"/>
    <x v="171"/>
    <s v="Electronics"/>
    <n v="6"/>
    <x v="11"/>
    <n v="0.1"/>
    <s v="₹5,500"/>
    <s v="EMI"/>
  </r>
  <r>
    <s v="0RD1190"/>
    <d v="2026-04-10T00:00:00"/>
    <s v="Monika Sharma"/>
    <x v="174"/>
    <x v="172"/>
    <s v="Electronics"/>
    <n v="4"/>
    <x v="35"/>
    <n v="0.12"/>
    <s v="₹14,500"/>
    <s v="Debit Card"/>
  </r>
  <r>
    <s v="0RD1191"/>
    <d v="2026-05-10T00:00:00"/>
    <s v="Suman Singh"/>
    <x v="175"/>
    <x v="173"/>
    <s v="Electronics"/>
    <n v="3"/>
    <x v="36"/>
    <n v="0.08"/>
    <s v="₹8,500"/>
    <s v="Cheque"/>
  </r>
  <r>
    <s v="0RD1192"/>
    <d v="2026-06-10T00:00:00"/>
    <s v="puja Kumari"/>
    <x v="176"/>
    <x v="174"/>
    <s v="Electronics"/>
    <n v="2"/>
    <x v="37"/>
    <n v="0.15"/>
    <s v="₹11,000"/>
    <s v="Cash on Delivery"/>
  </r>
  <r>
    <s v="0RD1193"/>
    <d v="2026-07-10T00:00:00"/>
    <s v="Neelam Sharma"/>
    <x v="177"/>
    <x v="175"/>
    <s v="Electronics"/>
    <n v="5"/>
    <x v="38"/>
    <n v="0.1"/>
    <s v="₹13,500"/>
    <s v="Wallet"/>
  </r>
  <r>
    <s v="0RD1194"/>
    <d v="2026-08-10T00:00:00"/>
    <s v="Mamta Singh"/>
    <x v="178"/>
    <x v="176"/>
    <s v="Electronics"/>
    <n v="1"/>
    <x v="39"/>
    <n v="0.05"/>
    <s v="₹7,500"/>
    <s v="EMI"/>
  </r>
  <r>
    <s v="0RD1195"/>
    <d v="2026-09-10T00:00:00"/>
    <s v="Kiran Kumari"/>
    <x v="179"/>
    <x v="177"/>
    <s v="Electronics"/>
    <n v="4"/>
    <x v="40"/>
    <n v="0.12"/>
    <s v="₹10,500"/>
    <s v="Cash"/>
  </r>
  <r>
    <s v="0RD1196"/>
    <d v="2026-10-10T00:00:00"/>
    <s v="Priyanka Sharma"/>
    <x v="180"/>
    <x v="178"/>
    <s v="Electronics"/>
    <n v="6"/>
    <x v="41"/>
    <n v="0.08"/>
    <s v="₹15,000"/>
    <s v="UPI"/>
  </r>
  <r>
    <s v="0RD1197"/>
    <d v="2026-11-10T00:00:00"/>
    <s v="Megha Singh"/>
    <x v="181"/>
    <x v="19"/>
    <s v="Electronics"/>
    <n v="3"/>
    <x v="42"/>
    <n v="0.1"/>
    <s v="₹9,500"/>
    <s v="Debit Card"/>
  </r>
  <r>
    <s v="0RD1198"/>
    <d v="2026-12-10T00:00:00"/>
    <s v="Swara Kumari"/>
    <x v="182"/>
    <x v="179"/>
    <s v="Electronics"/>
    <n v="2"/>
    <x v="43"/>
    <n v="0.15"/>
    <s v="₹12,000"/>
    <s v="Credit Card"/>
  </r>
  <r>
    <s v="0RD1199"/>
    <s v="13-10-2026"/>
    <s v="Akanksha Sharma"/>
    <x v="183"/>
    <x v="180"/>
    <s v="Electronics"/>
    <n v="5"/>
    <x v="44"/>
    <n v="0.05"/>
    <s v="₹6,500"/>
    <s v="Net Banking"/>
  </r>
  <r>
    <s v="0RD1200"/>
    <s v="14-10-2026"/>
    <s v="Garima Singh"/>
    <x v="184"/>
    <x v="181"/>
    <s v="Electronics"/>
    <n v="4"/>
    <x v="45"/>
    <n v="0.1"/>
    <s v="₹14,000"/>
    <s v="Bank Transfer"/>
  </r>
  <r>
    <s v="0RD1201"/>
    <s v="15-10-2026"/>
    <s v="Ishita Kumari"/>
    <x v="185"/>
    <x v="182"/>
    <s v="Electronics"/>
    <n v="1"/>
    <x v="46"/>
    <n v="0.08"/>
    <s v="₹8,000"/>
    <s v="Cheque"/>
  </r>
  <r>
    <s v="0RD1202"/>
    <s v="16-10-2026"/>
    <s v="Mansi Sharma"/>
    <x v="186"/>
    <x v="183"/>
    <s v="Electronics"/>
    <n v="6"/>
    <x v="47"/>
    <n v="0.12"/>
    <s v="₹11,500"/>
    <s v="Cash on Delivery"/>
  </r>
  <r>
    <s v="0RD1203"/>
    <s v="17-10-2026"/>
    <s v="Payal Kumari"/>
    <x v="187"/>
    <x v="184"/>
    <s v="Electronics"/>
    <n v="2"/>
    <x v="48"/>
    <n v="0.15"/>
    <s v="₹13,000"/>
    <s v="Wallet"/>
  </r>
  <r>
    <s v="0RD1204"/>
    <s v="18-10-2026"/>
    <s v="Roshni Singh"/>
    <x v="188"/>
    <x v="185"/>
    <s v="Electronics"/>
    <n v="3"/>
    <x v="49"/>
    <n v="0.1"/>
    <s v="₹7,000"/>
    <s v="EMI"/>
  </r>
  <r>
    <s v="0RD1205"/>
    <s v="19-10-2026"/>
    <s v="Komal Kumari"/>
    <x v="189"/>
    <x v="186"/>
    <s v="Electronics"/>
    <n v="5"/>
    <x v="50"/>
    <n v="0.05"/>
    <s v="₹10,000"/>
    <s v="Cash"/>
  </r>
  <r>
    <s v="0RD1206"/>
    <s v="20-10-2026"/>
    <s v="Nikita Sharma"/>
    <x v="190"/>
    <x v="187"/>
    <s v="Electronics"/>
    <n v="1"/>
    <x v="51"/>
    <n v="0.12"/>
    <s v="₹16,500"/>
    <s v="UPI"/>
  </r>
  <r>
    <s v="0RD1207"/>
    <s v="21-10-2026"/>
    <s v="Srishti Singh"/>
    <x v="191"/>
    <x v="188"/>
    <s v="Electronics"/>
    <n v="4"/>
    <x v="52"/>
    <n v="0.08"/>
    <s v="₹9,000"/>
    <s v="Debit Card"/>
  </r>
  <r>
    <s v="0RD1208"/>
    <s v="22-10-2026"/>
    <s v="Vaishnavi Kumari"/>
    <x v="192"/>
    <x v="189"/>
    <s v="Electronics"/>
    <n v="2"/>
    <x v="53"/>
    <n v="0.15"/>
    <s v="₹12,500"/>
    <s v="Credit Card"/>
  </r>
  <r>
    <s v="0RD1209"/>
    <s v="23-10-2026"/>
    <s v="Muskan Singh"/>
    <x v="193"/>
    <x v="190"/>
    <s v="Electronics"/>
    <n v="6"/>
    <x v="54"/>
    <n v="0.1"/>
    <s v="₹6,000"/>
    <s v="Net Banking"/>
  </r>
  <r>
    <s v="0RD1210"/>
    <s v="24-10-2026"/>
    <s v="Shruti Sharma"/>
    <x v="40"/>
    <x v="191"/>
    <s v="Electronics"/>
    <n v="3"/>
    <x v="55"/>
    <n v="0.05"/>
    <s v="₹14,500"/>
    <s v="Bank Transfer"/>
  </r>
  <r>
    <s v="0RD1211"/>
    <s v="25-10-2026"/>
    <s v="Amrita Kumari"/>
    <x v="194"/>
    <x v="192"/>
    <s v="Electronics"/>
    <n v="5"/>
    <x v="56"/>
    <n v="0.08"/>
    <s v="₹8,500"/>
    <s v="Cheque"/>
  </r>
  <r>
    <s v="0RD1212"/>
    <s v="26-10-2026"/>
    <s v="Ayesha Khan"/>
    <x v="195"/>
    <x v="193"/>
    <s v="Electronics"/>
    <n v="1"/>
    <x v="57"/>
    <n v="0.12"/>
    <s v="₹11,000"/>
    <s v="Cash on Delivery"/>
  </r>
  <r>
    <s v="0RD1213"/>
    <s v="27-10-2026"/>
    <s v="Alisha Sharma"/>
    <x v="196"/>
    <x v="194"/>
    <s v="Electronics"/>
    <n v="2"/>
    <x v="58"/>
    <n v="0.15"/>
    <s v="₹13,500"/>
    <s v="Wallet"/>
  </r>
  <r>
    <s v="0RD1214"/>
    <s v="28-10-2026"/>
    <s v="Aditi Kumari"/>
    <x v="197"/>
    <x v="195"/>
    <s v="Electronics"/>
    <n v="4"/>
    <x v="59"/>
    <n v="0.1"/>
    <s v="₹7,500"/>
    <s v="EMI"/>
  </r>
  <r>
    <s v="0RD1215"/>
    <s v="29-10-2026"/>
    <s v="Ananya Singh"/>
    <x v="198"/>
    <x v="196"/>
    <s v="Electronics"/>
    <n v="3"/>
    <x v="60"/>
    <n v="0.05"/>
    <s v="₹10,500"/>
    <s v="Cash"/>
  </r>
  <r>
    <s v="0RD1216"/>
    <s v="30-10-2026"/>
    <s v="Ankita Kumari"/>
    <x v="199"/>
    <x v="197"/>
    <s v="Electronics"/>
    <n v="6"/>
    <x v="61"/>
    <n v="0.12"/>
    <s v="₹15,500"/>
    <s v="UPI"/>
  </r>
  <r>
    <s v="0RD1217"/>
    <s v="31-10-2026"/>
    <s v="Bhavna Sharma"/>
    <x v="200"/>
    <x v="198"/>
    <s v="Electronics"/>
    <n v="2"/>
    <x v="62"/>
    <n v="0.08"/>
    <s v="₹9,500"/>
    <s v="Debit Card"/>
  </r>
  <r>
    <s v="0RD1218"/>
    <s v="25-06-2026"/>
    <s v="Charu Singh"/>
    <x v="201"/>
    <x v="199"/>
    <s v="Electronics"/>
    <n v="5"/>
    <x v="63"/>
    <n v="0.1"/>
    <s v="₹12,000"/>
    <s v="Credit Card"/>
  </r>
  <r>
    <s v="0RD1219"/>
    <s v="26-06-2026"/>
    <s v="Deepika Kumari"/>
    <x v="202"/>
    <x v="200"/>
    <s v="Electronics"/>
    <n v="1"/>
    <x v="64"/>
    <n v="0.15"/>
    <s v="₹6,000"/>
    <s v="Net Banking"/>
  </r>
  <r>
    <s v="0RD1220"/>
    <s v="27-06-2026"/>
    <s v="Ekta Sharma"/>
    <x v="203"/>
    <x v="201"/>
    <s v="Electronics"/>
    <n v="4"/>
    <x v="65"/>
    <n v="0.05"/>
    <s v="₹14,000"/>
    <s v="Bank Transfer"/>
  </r>
  <r>
    <s v="0RD1221"/>
    <s v="28-06-2026"/>
    <s v="Gauri Singh"/>
    <x v="204"/>
    <x v="202"/>
    <s v="Electronics"/>
    <n v="3"/>
    <x v="66"/>
    <n v="0.1"/>
    <s v="₹8,000"/>
    <s v="Cheque"/>
  </r>
  <r>
    <s v="0RD1222"/>
    <s v="29-06-2026"/>
    <s v="Harini Kumari"/>
    <x v="205"/>
    <x v="203"/>
    <s v="Electronics"/>
    <n v="2"/>
    <x v="67"/>
    <n v="0.08"/>
    <s v="₹11,500"/>
    <s v="Cash on Delivery"/>
  </r>
  <r>
    <s v="0RD1223"/>
    <s v="30-06-2026"/>
    <s v="Isha Sharma"/>
    <x v="206"/>
    <x v="204"/>
    <s v="Electronics"/>
    <n v="6"/>
    <x v="68"/>
    <n v="0.12"/>
    <s v="₹13,000"/>
    <s v="Wallet"/>
  </r>
  <r>
    <s v="0RD1224"/>
    <s v="27-062026"/>
    <s v="Jhanvi Singh"/>
    <x v="207"/>
    <x v="205"/>
    <s v="Electronics"/>
    <n v="5"/>
    <x v="69"/>
    <n v="0.15"/>
    <s v="₹7,000"/>
    <s v="EMI"/>
  </r>
  <r>
    <s v="0RD1225"/>
    <d v="2026-01-07T00:00:00"/>
    <s v="Kajal Kumari"/>
    <x v="208"/>
    <x v="206"/>
    <s v="Electronics"/>
    <n v="1"/>
    <x v="70"/>
    <n v="0.05"/>
    <s v="₹10,000"/>
    <s v="Cash"/>
  </r>
  <r>
    <s v="0RD1226"/>
    <d v="2026-02-07T00:00:00"/>
    <s v="Kritika Sharma"/>
    <x v="209"/>
    <x v="207"/>
    <s v="Electronics"/>
    <n v="4"/>
    <x v="71"/>
    <n v="0.1"/>
    <s v="₹16,000"/>
    <s v="UPI"/>
  </r>
  <r>
    <s v="0RD1227"/>
    <d v="2026-03-07T00:00:00"/>
    <s v="Lakshmi Singh"/>
    <x v="210"/>
    <x v="208"/>
    <s v="Electronics"/>
    <n v="2"/>
    <x v="72"/>
    <n v="0.08"/>
    <s v="₹9,000"/>
    <s v="Debit Card"/>
  </r>
  <r>
    <s v="0RD1228"/>
    <d v="2026-04-07T00:00:00"/>
    <s v="Lavanya Kumari"/>
    <x v="211"/>
    <x v="209"/>
    <s v="Electronics"/>
    <n v="3"/>
    <x v="73"/>
    <n v="0.12"/>
    <s v="₹12,500"/>
    <s v="Credit Card"/>
  </r>
  <r>
    <s v="0RD1229"/>
    <d v="2026-05-07T00:00:00"/>
    <s v="Mahima Sharma"/>
    <x v="212"/>
    <x v="210"/>
    <s v="Electronics"/>
    <n v="6"/>
    <x v="74"/>
    <n v="0.1"/>
    <s v="₹6,500"/>
    <s v="Net Banking"/>
  </r>
  <r>
    <s v="0RD1230"/>
    <d v="2026-06-07T00:00:00"/>
    <s v="Mahi Singh"/>
    <x v="213"/>
    <x v="211"/>
    <s v="Electronics"/>
    <n v="1"/>
    <x v="75"/>
    <n v="0.15"/>
    <s v="₹14,500"/>
    <s v="Bank Transfer"/>
  </r>
  <r>
    <s v="0RD1231"/>
    <d v="2026-07-07T00:00:00"/>
    <s v="Manisha Kumari"/>
    <x v="214"/>
    <x v="212"/>
    <s v="Electronics"/>
    <n v="5"/>
    <x v="76"/>
    <n v="0.08"/>
    <s v="₹8,500"/>
    <s v="Cheque"/>
  </r>
  <r>
    <s v="0RD1232"/>
    <d v="2026-08-07T00:00:00"/>
    <s v="Meera Sharma"/>
    <x v="215"/>
    <x v="213"/>
    <s v="Electronics"/>
    <n v="4"/>
    <x v="30"/>
    <n v="0.05"/>
    <s v="₹11,000"/>
    <s v="Cash on Delivery"/>
  </r>
  <r>
    <s v="0RD1233"/>
    <d v="2026-09-07T00:00:00"/>
    <s v="Navya Singh"/>
    <x v="216"/>
    <x v="214"/>
    <s v="Electronics"/>
    <n v="2"/>
    <x v="77"/>
    <n v="0.1"/>
    <s v="₹13,500"/>
    <s v="Wallet"/>
  </r>
  <r>
    <s v="0RD1234"/>
    <d v="2026-10-07T00:00:00"/>
    <s v="Nikita Kumari"/>
    <x v="217"/>
    <x v="215"/>
    <s v="Electronics"/>
    <n v="3"/>
    <x v="78"/>
    <n v="0.12"/>
    <s v="₹7,500"/>
    <s v="EMI"/>
  </r>
  <r>
    <s v="0RD1235"/>
    <d v="2026-11-07T00:00:00"/>
    <s v="Palak Sharma"/>
    <x v="218"/>
    <x v="216"/>
    <s v="Electronics"/>
    <n v="1"/>
    <x v="28"/>
    <n v="0.15"/>
    <s v="₹10,500"/>
    <s v="Cash"/>
  </r>
  <r>
    <s v="0RD1236"/>
    <d v="2026-12-07T00:00:00"/>
    <s v="Poonam Singh"/>
    <x v="219"/>
    <x v="217"/>
    <s v="Electronics"/>
    <n v="6"/>
    <x v="79"/>
    <n v="0.1"/>
    <s v="₹15,000"/>
    <s v="UPI"/>
  </r>
  <r>
    <s v="0RD1237"/>
    <s v="13-07-2026"/>
    <s v="Pragya Kumari"/>
    <x v="220"/>
    <x v="218"/>
    <s v="Electronics"/>
    <n v="4"/>
    <x v="80"/>
    <n v="0.08"/>
    <s v="₹9,500"/>
    <s v="Debit Card"/>
  </r>
  <r>
    <s v="0RD1238"/>
    <s v="14-07-2026"/>
    <s v="Rakhi Sharma"/>
    <x v="221"/>
    <x v="219"/>
    <s v="Electronics"/>
    <n v="5"/>
    <x v="81"/>
    <n v="0.05"/>
    <s v="₹12,000"/>
    <s v="Credit Card"/>
  </r>
  <r>
    <s v="0RD1239"/>
    <d v="2026-03-03T00:00:00"/>
    <s v="Rashi Singh"/>
    <x v="222"/>
    <x v="220"/>
    <s v="Electronics"/>
    <n v="2"/>
    <x v="82"/>
    <n v="0.12"/>
    <s v="₹6,000"/>
    <s v="Net Banking"/>
  </r>
  <r>
    <s v="0RD1240"/>
    <s v="28-02-2026"/>
    <s v="Reena Kumari"/>
    <x v="223"/>
    <x v="221"/>
    <s v="Electronics"/>
    <n v="1"/>
    <x v="83"/>
    <n v="0.1"/>
    <s v="₹14,000"/>
    <s v="Bank Transfer"/>
  </r>
  <r>
    <s v="0RD1241"/>
    <s v="31-03-2026"/>
    <s v="Richa Sharma"/>
    <x v="224"/>
    <x v="222"/>
    <s v="Electronics"/>
    <n v="3"/>
    <x v="84"/>
    <n v="0.15"/>
    <s v="₹8,000"/>
    <s v="Cheque"/>
  </r>
  <r>
    <s v="0RD1242"/>
    <d v="2026-01-03T00:00:00"/>
    <s v="Riddhi Singh"/>
    <x v="225"/>
    <x v="223"/>
    <s v="Electronics"/>
    <n v="6"/>
    <x v="85"/>
    <n v="0.08"/>
    <s v="₹11,500"/>
    <s v="Cash on Delivery"/>
  </r>
  <r>
    <s v="0RD1243"/>
    <d v="2026-01-04T00:00:00"/>
    <s v="Ritika Kumari"/>
    <x v="226"/>
    <x v="224"/>
    <s v="Electronics"/>
    <n v="4"/>
    <x v="86"/>
    <n v="0.1"/>
    <s v="₹13,000"/>
    <s v="Wallet"/>
  </r>
  <r>
    <s v="0RD1244"/>
    <d v="2026-02-04T00:00:00"/>
    <s v="Sanya Sharma"/>
    <x v="227"/>
    <x v="225"/>
    <s v="Electronics"/>
    <n v="2"/>
    <x v="17"/>
    <n v="0.05"/>
    <s v="₹7,000"/>
    <s v="EMI"/>
  </r>
  <r>
    <s v="0RD1245"/>
    <d v="2026-03-04T00:00:00"/>
    <s v="Shalini Singh"/>
    <x v="228"/>
    <x v="226"/>
    <s v="Electronics"/>
    <n v="5"/>
    <x v="87"/>
    <n v="0.12"/>
    <s v="₹10,000"/>
    <s v="Cash"/>
  </r>
  <r>
    <s v="0RD1246"/>
    <d v="2026-01-05T00:00:00"/>
    <s v="Shikha Kumari"/>
    <x v="229"/>
    <x v="227"/>
    <s v="Electronics"/>
    <n v="1"/>
    <x v="88"/>
    <n v="0.15"/>
    <s v="₹16,500"/>
    <s v="UPI"/>
  </r>
  <r>
    <s v="0RD1247"/>
    <s v="30-04-2026"/>
    <s v="Simmi Sharma"/>
    <x v="230"/>
    <x v="228"/>
    <s v="Electronics"/>
    <n v="3"/>
    <x v="89"/>
    <n v="0.08"/>
    <s v="₹9,000"/>
    <s v="Debit Card"/>
  </r>
  <r>
    <s v="0RD1248"/>
    <d v="2026-01-03T00:00:00"/>
    <s v="Sneha Kumari"/>
    <x v="231"/>
    <x v="229"/>
    <s v="Electronics"/>
    <n v="6"/>
    <x v="90"/>
    <n v="0.1"/>
    <s v="₹12,500"/>
    <s v="Credit Card"/>
  </r>
  <r>
    <s v="0RD1249"/>
    <d v="2026-01-05T00:00:00"/>
    <s v="Sonali Singh"/>
    <x v="232"/>
    <x v="230"/>
    <s v="Electronics"/>
    <n v="2"/>
    <x v="91"/>
    <n v="0.05"/>
    <s v="₹6,500"/>
    <s v="Net Banking"/>
  </r>
  <r>
    <s v="0RD1250"/>
    <d v="2026-02-05T00:00:00"/>
    <s v="Tanisha Sharma"/>
    <x v="233"/>
    <x v="71"/>
    <s v="Electronics"/>
    <n v="4"/>
    <x v="5"/>
    <n v="0.12"/>
    <s v="₹14,500"/>
    <s v="Bank Transfer"/>
  </r>
  <r>
    <s v="0RD1251"/>
    <d v="2026-03-05T00:00:00"/>
    <s v="Tanu Kumari"/>
    <x v="234"/>
    <x v="231"/>
    <s v="Electronics"/>
    <n v="5"/>
    <x v="92"/>
    <n v="0.1"/>
    <s v="₹8,500"/>
    <s v="Cheque"/>
  </r>
  <r>
    <s v="0RD1252"/>
    <s v="30-04-2026"/>
    <s v="Trisha Singh"/>
    <x v="235"/>
    <x v="232"/>
    <s v="Electronics"/>
    <n v="1"/>
    <x v="93"/>
    <n v="0.08"/>
    <s v="₹6,000"/>
    <s v="Cash on Delivery"/>
  </r>
  <r>
    <s v="0RD1253"/>
    <s v="31-05-2026"/>
    <s v="Urvashi Sharma"/>
    <x v="236"/>
    <x v="233"/>
    <s v="Electronics"/>
    <n v="2"/>
    <x v="94"/>
    <n v="0.15"/>
    <s v="₹14,500"/>
    <s v="Wallet"/>
  </r>
  <r>
    <s v="0RD1254"/>
    <d v="2026-01-06T00:00:00"/>
    <s v="Vaishali Kumari"/>
    <x v="237"/>
    <x v="234"/>
    <s v="Electronics"/>
    <n v="1"/>
    <x v="12"/>
    <n v="0.05"/>
    <s v="₹8,500"/>
    <s v="EMI"/>
  </r>
  <r>
    <s v="0RD1255"/>
    <d v="2026-02-06T00:00:00"/>
    <s v="Vandana Singh"/>
    <x v="238"/>
    <x v="235"/>
    <s v="Electronics"/>
    <n v="3"/>
    <x v="38"/>
    <n v="0.1"/>
    <s v="₹11,000"/>
    <s v="Cash"/>
  </r>
  <r>
    <s v="0RD1256"/>
    <d v="2026-03-06T00:00:00"/>
    <s v="Varsha Sharma"/>
    <x v="239"/>
    <x v="236"/>
    <s v="Electronics"/>
    <n v="2"/>
    <x v="60"/>
    <n v="0.12"/>
    <s v="₹13,500"/>
    <s v="UPI"/>
  </r>
  <r>
    <s v="0RD1257"/>
    <d v="2026-02-09T00:00:00"/>
    <s v="Vidhi Kumari"/>
    <x v="240"/>
    <x v="237"/>
    <s v="Electronics"/>
    <n v="5"/>
    <x v="95"/>
    <n v="0.08"/>
    <s v="₹7,500"/>
    <s v="Debit Card"/>
  </r>
  <r>
    <s v="0RD1258"/>
    <d v="2026-03-09T00:00:00"/>
    <s v="Vani Singh"/>
    <x v="241"/>
    <x v="238"/>
    <s v="Electronics"/>
    <n v="1"/>
    <x v="41"/>
    <n v="0.15"/>
    <s v="₹10,500"/>
    <s v="Credit Card"/>
  </r>
  <r>
    <s v="0RD1259"/>
    <d v="2026-04-09T00:00:00"/>
    <s v="Yashi Sharma"/>
    <x v="242"/>
    <x v="239"/>
    <s v="Electronics"/>
    <n v="4"/>
    <x v="96"/>
    <n v="0.1"/>
    <s v="₹15,500"/>
    <s v="Net Banking"/>
  </r>
  <r>
    <s v="0RD1260"/>
    <d v="2026-05-09T00:00:00"/>
    <s v="Zoya Khan"/>
    <x v="243"/>
    <x v="240"/>
    <s v="Electronics"/>
    <n v="2"/>
    <x v="47"/>
    <n v="0.05"/>
    <s v="₹9,500"/>
    <s v="Bank Transfer"/>
  </r>
  <r>
    <s v="0RD1261"/>
    <d v="2026-06-09T00:00:00"/>
    <s v="Aaradhya Singh"/>
    <x v="244"/>
    <x v="241"/>
    <s v="Electronics"/>
    <n v="3"/>
    <x v="44"/>
    <n v="0.12"/>
    <s v="₹12,000"/>
    <s v="Cheque"/>
  </r>
  <r>
    <s v="0RD1262"/>
    <d v="2026-07-09T00:00:00"/>
    <s v="Aanchal Kumar"/>
    <x v="245"/>
    <x v="242"/>
    <s v="Electronics"/>
    <n v="1"/>
    <x v="54"/>
    <n v="0.08"/>
    <s v="₹6,000"/>
    <s v="Cash on Delivery"/>
  </r>
  <r>
    <s v="0RD1263"/>
    <d v="2026-08-09T00:00:00"/>
    <s v="Aastha Singh"/>
    <x v="246"/>
    <x v="243"/>
    <s v="Electronics"/>
    <n v="6"/>
    <x v="34"/>
    <n v="0.1"/>
    <s v="₹14,000"/>
    <s v="Wallet"/>
  </r>
  <r>
    <s v="0RD1264"/>
    <d v="2026-09-09T00:00:00"/>
    <s v="Anjali Sharma"/>
    <x v="247"/>
    <x v="244"/>
    <s v="Electronics"/>
    <n v="2"/>
    <x v="68"/>
    <n v="0.15"/>
    <s v="₹8,000"/>
    <s v="EMI"/>
  </r>
  <r>
    <s v="0RD1265"/>
    <d v="2026-10-09T00:00:00"/>
    <s v="Arpita Kumari"/>
    <x v="248"/>
    <x v="245"/>
    <s v="Electronics"/>
    <n v="4"/>
    <x v="24"/>
    <n v="0.05"/>
    <s v="₹11,500"/>
    <s v="Cash"/>
  </r>
  <r>
    <s v="0RD1266"/>
    <d v="2026-11-09T00:00:00"/>
    <s v="Bharti Singh"/>
    <x v="249"/>
    <x v="246"/>
    <s v="Electronics"/>
    <n v="3"/>
    <x v="53"/>
    <n v="0.1"/>
    <s v="₹13,000"/>
    <s v="UPI"/>
  </r>
  <r>
    <s v="0RD1267"/>
    <d v="2026-12-09T00:00:00"/>
    <s v="Chhavi Sharma"/>
    <x v="250"/>
    <x v="247"/>
    <s v="Electronics"/>
    <n v="1"/>
    <x v="35"/>
    <n v="0.12"/>
    <s v="₹7,000"/>
    <s v="Debit Card"/>
  </r>
  <r>
    <s v="0RD1268"/>
    <s v="13-09-2026"/>
    <s v="Damini Kumari"/>
    <x v="251"/>
    <x v="248"/>
    <s v="Electronics"/>
    <n v="5"/>
    <x v="43"/>
    <n v="0.08"/>
    <s v="₹10,000"/>
    <s v="Credit Card"/>
  </r>
  <r>
    <s v="0RD1269"/>
    <s v="14-09-2026"/>
    <s v="Esha Singh"/>
    <x v="252"/>
    <x v="249"/>
    <s v="Electronics"/>
    <n v="2"/>
    <x v="36"/>
    <n v="0.15"/>
    <s v="₹16,000"/>
    <s v="Net Banking"/>
  </r>
  <r>
    <s v="0RD1270"/>
    <s v="15-09-2026"/>
    <s v="Falguni Sharma"/>
    <x v="253"/>
    <x v="250"/>
    <s v="Electronics"/>
    <n v="3"/>
    <x v="45"/>
    <n v="0.1"/>
    <s v="₹9,000"/>
    <s v="Bank Transfer"/>
  </r>
  <r>
    <s v="0RD1271"/>
    <s v="16-09-2026"/>
    <s v="Garima Kumari"/>
    <x v="254"/>
    <x v="251"/>
    <s v="Electronics"/>
    <n v="4"/>
    <x v="46"/>
    <n v="0.05"/>
    <s v="₹12,500"/>
    <s v="Cheque"/>
  </r>
  <r>
    <s v="0RD1272"/>
    <s v="17-09-2026"/>
    <s v="Hema Singh"/>
    <x v="255"/>
    <x v="252"/>
    <s v="Electronics"/>
    <n v="1"/>
    <x v="97"/>
    <n v="0.12"/>
    <s v="₹6,500"/>
    <s v="Cash on Delivery"/>
  </r>
  <r>
    <s v="0RD1273"/>
    <s v="18-09-2026"/>
    <s v="Hina Sharma"/>
    <x v="256"/>
    <x v="253"/>
    <s v="Electronics"/>
    <n v="2"/>
    <x v="49"/>
    <n v="0.08"/>
    <s v="₹14,500"/>
    <s v="Wallet"/>
  </r>
  <r>
    <s v="0RD1274"/>
    <s v="19-09-2026"/>
    <s v="Ishika Kumari"/>
    <x v="257"/>
    <x v="254"/>
    <s v="Electronics"/>
    <n v="6"/>
    <x v="63"/>
    <n v="0.1"/>
    <s v="₹8,500"/>
    <s v="EMI"/>
  </r>
  <r>
    <s v="0RD1275"/>
    <s v="20-09-2026"/>
    <s v="Jaya Singh"/>
    <x v="258"/>
    <x v="255"/>
    <s v="Electronics"/>
    <n v="3"/>
    <x v="61"/>
    <n v="0.15"/>
    <s v="₹11,000"/>
    <s v="Cash"/>
  </r>
  <r>
    <s v="0RD1276"/>
    <s v="21-09-2026"/>
    <s v="Kajri Sharma"/>
    <x v="259"/>
    <x v="256"/>
    <s v="Electronics"/>
    <n v="1"/>
    <x v="58"/>
    <n v="0.05"/>
    <s v="₹13,500"/>
    <s v="UPI"/>
  </r>
  <r>
    <s v="0RD1277"/>
    <s v="22-09-2026"/>
    <s v="Kanchan Kumari"/>
    <x v="260"/>
    <x v="257"/>
    <s v="Electronics"/>
    <n v="4"/>
    <x v="32"/>
    <n v="0.1"/>
    <s v="₹7,500"/>
    <s v="Debit Card"/>
  </r>
  <r>
    <s v="0RD1278"/>
    <s v="23-09-2026"/>
    <s v="Kavya Singh"/>
    <x v="261"/>
    <x v="258"/>
    <s v="Electronics"/>
    <n v="2"/>
    <x v="59"/>
    <n v="0.12"/>
    <s v="₹10,500"/>
    <s v="Credit Card"/>
  </r>
  <r>
    <s v="0RD1279"/>
    <s v="24-09-2026"/>
    <s v="Kirti Sharma"/>
    <x v="262"/>
    <x v="259"/>
    <s v="Electronics"/>
    <n v="5"/>
    <x v="62"/>
    <n v="0.08"/>
    <s v="₹15,000"/>
    <s v="Net Banking"/>
  </r>
  <r>
    <s v="0RD1280"/>
    <s v="25-09-2026"/>
    <s v="Kriti Kumari"/>
    <x v="263"/>
    <x v="260"/>
    <s v="Electronics"/>
    <n v="3"/>
    <x v="17"/>
    <n v="0.15"/>
    <s v="₹9,500"/>
    <s v="Bank Transfer"/>
  </r>
  <r>
    <s v="0RD1281"/>
    <s v="26-09-2026"/>
    <s v="Khushboo Singh"/>
    <x v="264"/>
    <x v="261"/>
    <s v="Electronics"/>
    <n v="2"/>
    <x v="18"/>
    <n v="0.1"/>
    <s v="₹12,000"/>
    <s v="Cheque"/>
  </r>
  <r>
    <s v="0RD1282"/>
    <s v="27-09-2026"/>
    <s v="Mansi Kumari"/>
    <x v="265"/>
    <x v="262"/>
    <s v="Electronics"/>
    <n v="1"/>
    <x v="65"/>
    <n v="0.05"/>
    <s v="₹6,000"/>
    <s v="Cash on Delivery"/>
  </r>
  <r>
    <s v="0RD1283"/>
    <s v="28-09-2026"/>
    <s v="Megha Sharma"/>
    <x v="266"/>
    <x v="263"/>
    <s v="Electronics"/>
    <n v="4"/>
    <x v="73"/>
    <n v="0.08"/>
    <s v="₹14,000"/>
    <s v="Wallet"/>
  </r>
  <r>
    <s v="0RD1284"/>
    <s v="29-09-2026"/>
    <s v="Monika Singh"/>
    <x v="267"/>
    <x v="264"/>
    <s v="Electronics"/>
    <n v="6"/>
    <x v="39"/>
    <n v="0.12"/>
    <s v="₹8,000"/>
    <s v="EMI"/>
  </r>
  <r>
    <s v="0RD1285"/>
    <s v="30-09-2026"/>
    <s v="Naina Kumari"/>
    <x v="268"/>
    <x v="265"/>
    <s v="Electronics"/>
    <n v="2"/>
    <x v="52"/>
    <n v="0.15"/>
    <s v="₹11,500"/>
    <s v="Cash"/>
  </r>
  <r>
    <s v="0RD1286"/>
    <s v="29-09-2026"/>
    <s v="Namrata Sharma"/>
    <x v="269"/>
    <x v="266"/>
    <s v="Electronics"/>
    <n v="3"/>
    <x v="76"/>
    <n v="0.1"/>
    <s v="₹13,000"/>
    <s v="UPI"/>
  </r>
  <r>
    <s v="0RD1287"/>
    <d v="2026-04-08T00:00:00"/>
    <s v="Niharika Singh"/>
    <x v="270"/>
    <x v="267"/>
    <s v="Electronics"/>
    <n v="1"/>
    <x v="51"/>
    <n v="0.05"/>
    <s v="₹7,000"/>
    <s v="Debit Card"/>
  </r>
  <r>
    <s v="0RD1288"/>
    <d v="2026-05-08T00:00:00"/>
    <s v="Palak Kumari"/>
    <x v="271"/>
    <x v="268"/>
    <s v="Electronics"/>
    <n v="5"/>
    <x v="56"/>
    <n v="0.12"/>
    <s v="₹9,000"/>
    <s v="Credit Card"/>
  </r>
  <r>
    <s v="0RD1289"/>
    <d v="2026-06-08T00:00:00"/>
    <s v="Pankhuri Sharma"/>
    <x v="272"/>
    <x v="269"/>
    <s v="Electronics"/>
    <n v="2"/>
    <x v="78"/>
    <n v="0.08"/>
    <s v="₹12,500"/>
    <s v="Net Banking"/>
  </r>
  <r>
    <s v="0RD1290"/>
    <d v="2026-07-08T00:00:00"/>
    <s v="Parul Singh"/>
    <x v="273"/>
    <x v="270"/>
    <s v="Electronics"/>
    <n v="4"/>
    <x v="33"/>
    <n v="0.1"/>
    <s v="₹6,500"/>
    <s v="Bank Transfer"/>
  </r>
  <r>
    <s v="0RD1291"/>
    <d v="2026-08-08T00:00:00"/>
    <s v="Prachi Kumari"/>
    <x v="274"/>
    <x v="271"/>
    <s v="Electronics"/>
    <n v="3"/>
    <x v="30"/>
    <n v="0.15"/>
    <s v="₹14,500"/>
    <s v="Cheque"/>
  </r>
  <r>
    <s v="0RD1292"/>
    <d v="2026-09-08T00:00:00"/>
    <s v="Radhika Sharma"/>
    <x v="275"/>
    <x v="272"/>
    <s v="Electronics"/>
    <n v="1"/>
    <x v="80"/>
    <n v="0.05"/>
    <s v="₹8,500"/>
    <s v="Cash on Delivery"/>
  </r>
  <r>
    <s v="0RD1293"/>
    <d v="2026-10-08T00:00:00"/>
    <s v="Ranjana Singh"/>
    <x v="276"/>
    <x v="273"/>
    <s v="Electronics"/>
    <n v="6"/>
    <x v="79"/>
    <n v="0.1"/>
    <s v="₹11,000"/>
    <s v="Wallet"/>
  </r>
  <r>
    <s v="0RD1294"/>
    <d v="2026-11-08T00:00:00"/>
    <s v="Rashmi Kumari"/>
    <x v="277"/>
    <x v="274"/>
    <s v="Electronics"/>
    <n v="2"/>
    <x v="27"/>
    <n v="0.08"/>
    <s v="₹13,500"/>
    <s v="EMI"/>
  </r>
  <r>
    <s v="0RD1295"/>
    <d v="2026-12-08T00:00:00"/>
    <s v="Renu Sharma"/>
    <x v="278"/>
    <x v="275"/>
    <s v="Electronics"/>
    <n v="3"/>
    <x v="84"/>
    <n v="0.12"/>
    <s v="₹7,500"/>
    <s v="Cash"/>
  </r>
  <r>
    <s v="0RD1296"/>
    <s v="13-08-2026"/>
    <s v="Riya Singh"/>
    <x v="279"/>
    <x v="276"/>
    <s v="Electronics"/>
    <n v="5"/>
    <x v="74"/>
    <n v="0.15"/>
    <s v="₹10,500"/>
    <s v="UPI"/>
  </r>
  <r>
    <s v="0RD1297"/>
    <s v="14-08-2026"/>
    <s v="Sakina Kumari"/>
    <x v="280"/>
    <x v="277"/>
    <s v="Electronics"/>
    <n v="1"/>
    <x v="69"/>
    <n v="0.1"/>
    <s v="₹15,000"/>
    <s v="Debit Card"/>
  </r>
  <r>
    <s v="0RD1298"/>
    <s v="15-08-2026"/>
    <s v="Saloni Sharma"/>
    <x v="281"/>
    <x v="278"/>
    <s v="Electronics"/>
    <n v="4"/>
    <x v="67"/>
    <n v="0.05"/>
    <s v="₹9,500"/>
    <s v="Credit Card"/>
  </r>
  <r>
    <s v="0RD1299"/>
    <s v="16-08-2026"/>
    <s v="Sanjana Singh"/>
    <x v="282"/>
    <x v="279"/>
    <s v="Electronics"/>
    <n v="2"/>
    <x v="71"/>
    <n v="0.08"/>
    <s v="₹12,000"/>
    <s v="Net Banking"/>
  </r>
  <r>
    <s v="0RD1300"/>
    <s v="17-08-2026"/>
    <s v="Shalini Kumari"/>
    <x v="283"/>
    <x v="280"/>
    <s v="Electronics"/>
    <n v="3"/>
    <x v="82"/>
    <n v="0.12"/>
    <s v="₹6,000"/>
    <s v="Bank Transfer"/>
  </r>
  <r>
    <s v="0RD1301"/>
    <s v="18-08-2026"/>
    <s v="priye kumari"/>
    <x v="279"/>
    <x v="281"/>
    <s v="Electronics"/>
    <n v="6"/>
    <x v="70"/>
    <n v="0.1"/>
    <n v="20000"/>
    <s v="Cheq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587" firstHeaderRow="1" firstDataRow="1" firstDataCol="1"/>
  <pivotFields count="11">
    <pivotField showAll="0"/>
    <pivotField showAll="0"/>
    <pivotField showAll="0"/>
    <pivotField showAll="0">
      <items count="285">
        <item x="275"/>
        <item x="168"/>
        <item x="101"/>
        <item x="36"/>
        <item x="53"/>
        <item x="103"/>
        <item x="46"/>
        <item x="239"/>
        <item x="109"/>
        <item x="140"/>
        <item x="191"/>
        <item x="147"/>
        <item x="78"/>
        <item x="152"/>
        <item x="173"/>
        <item x="270"/>
        <item x="23"/>
        <item x="206"/>
        <item x="31"/>
        <item x="52"/>
        <item x="130"/>
        <item x="137"/>
        <item x="230"/>
        <item x="176"/>
        <item x="155"/>
        <item x="219"/>
        <item x="231"/>
        <item x="128"/>
        <item x="41"/>
        <item x="177"/>
        <item x="222"/>
        <item x="136"/>
        <item x="179"/>
        <item x="22"/>
        <item x="62"/>
        <item x="58"/>
        <item x="175"/>
        <item x="114"/>
        <item x="209"/>
        <item x="18"/>
        <item x="141"/>
        <item x="153"/>
        <item x="149"/>
        <item x="143"/>
        <item x="279"/>
        <item x="89"/>
        <item x="74"/>
        <item x="118"/>
        <item x="139"/>
        <item x="94"/>
        <item x="9"/>
        <item x="27"/>
        <item x="208"/>
        <item x="124"/>
        <item x="77"/>
        <item x="110"/>
        <item x="63"/>
        <item x="264"/>
        <item x="233"/>
        <item x="64"/>
        <item x="255"/>
        <item x="75"/>
        <item x="20"/>
        <item x="220"/>
        <item x="237"/>
        <item x="157"/>
        <item x="82"/>
        <item x="2"/>
        <item x="28"/>
        <item x="202"/>
        <item x="8"/>
        <item x="26"/>
        <item x="86"/>
        <item x="269"/>
        <item x="241"/>
        <item x="163"/>
        <item x="213"/>
        <item x="32"/>
        <item x="266"/>
        <item x="160"/>
        <item x="196"/>
        <item x="189"/>
        <item x="281"/>
        <item x="223"/>
        <item x="274"/>
        <item x="134"/>
        <item x="57"/>
        <item x="104"/>
        <item x="217"/>
        <item x="1"/>
        <item x="16"/>
        <item x="38"/>
        <item x="122"/>
        <item x="39"/>
        <item x="214"/>
        <item x="73"/>
        <item x="276"/>
        <item x="190"/>
        <item x="99"/>
        <item x="91"/>
        <item x="117"/>
        <item x="235"/>
        <item x="224"/>
        <item x="83"/>
        <item x="249"/>
        <item x="121"/>
        <item x="185"/>
        <item x="181"/>
        <item x="126"/>
        <item x="61"/>
        <item x="68"/>
        <item x="102"/>
        <item x="90"/>
        <item x="105"/>
        <item x="92"/>
        <item x="260"/>
        <item x="14"/>
        <item x="42"/>
        <item x="80"/>
        <item x="240"/>
        <item x="129"/>
        <item x="87"/>
        <item x="150"/>
        <item x="7"/>
        <item x="25"/>
        <item x="210"/>
        <item x="119"/>
        <item x="133"/>
        <item x="178"/>
        <item x="43"/>
        <item x="151"/>
        <item x="172"/>
        <item x="282"/>
        <item x="169"/>
        <item x="256"/>
        <item x="13"/>
        <item x="33"/>
        <item x="273"/>
        <item x="164"/>
        <item x="188"/>
        <item x="253"/>
        <item x="111"/>
        <item x="166"/>
        <item x="125"/>
        <item x="207"/>
        <item x="96"/>
        <item x="120"/>
        <item x="106"/>
        <item x="252"/>
        <item x="144"/>
        <item x="29"/>
        <item x="271"/>
        <item x="15"/>
        <item x="44"/>
        <item x="98"/>
        <item x="221"/>
        <item x="171"/>
        <item x="229"/>
        <item x="211"/>
        <item x="225"/>
        <item x="238"/>
        <item x="215"/>
        <item x="12"/>
        <item x="79"/>
        <item x="263"/>
        <item x="204"/>
        <item x="65"/>
        <item x="258"/>
        <item x="226"/>
        <item x="127"/>
        <item x="277"/>
        <item x="259"/>
        <item x="250"/>
        <item x="60"/>
        <item x="108"/>
        <item x="232"/>
        <item x="40"/>
        <item x="243"/>
        <item x="138"/>
        <item x="183"/>
        <item x="180"/>
        <item x="131"/>
        <item x="244"/>
        <item x="113"/>
        <item x="4"/>
        <item x="47"/>
        <item x="116"/>
        <item x="19"/>
        <item x="59"/>
        <item x="154"/>
        <item x="6"/>
        <item x="49"/>
        <item x="254"/>
        <item x="146"/>
        <item x="50"/>
        <item x="246"/>
        <item x="10"/>
        <item x="17"/>
        <item x="107"/>
        <item x="165"/>
        <item x="11"/>
        <item x="37"/>
        <item x="265"/>
        <item x="216"/>
        <item x="245"/>
        <item x="95"/>
        <item x="193"/>
        <item x="186"/>
        <item x="182"/>
        <item x="81"/>
        <item x="0"/>
        <item x="35"/>
        <item x="5"/>
        <item x="48"/>
        <item x="268"/>
        <item x="21"/>
        <item x="218"/>
        <item x="227"/>
        <item x="251"/>
        <item x="93"/>
        <item x="170"/>
        <item x="56"/>
        <item x="123"/>
        <item x="194"/>
        <item x="3"/>
        <item x="24"/>
        <item x="272"/>
        <item x="198"/>
        <item x="278"/>
        <item x="84"/>
        <item x="184"/>
        <item x="76"/>
        <item x="200"/>
        <item x="132"/>
        <item x="203"/>
        <item x="66"/>
        <item x="115"/>
        <item x="174"/>
        <item x="242"/>
        <item x="112"/>
        <item x="148"/>
        <item x="199"/>
        <item x="195"/>
        <item x="212"/>
        <item x="100"/>
        <item x="85"/>
        <item x="158"/>
        <item x="261"/>
        <item x="142"/>
        <item x="30"/>
        <item x="280"/>
        <item x="228"/>
        <item x="257"/>
        <item x="283"/>
        <item x="145"/>
        <item x="187"/>
        <item x="234"/>
        <item x="267"/>
        <item x="88"/>
        <item x="135"/>
        <item x="205"/>
        <item x="54"/>
        <item x="167"/>
        <item x="51"/>
        <item x="162"/>
        <item x="97"/>
        <item x="161"/>
        <item x="72"/>
        <item x="159"/>
        <item x="236"/>
        <item x="156"/>
        <item x="45"/>
        <item x="248"/>
        <item x="201"/>
        <item x="197"/>
        <item x="55"/>
        <item x="247"/>
        <item x="34"/>
        <item x="67"/>
        <item x="71"/>
        <item x="262"/>
        <item x="70"/>
        <item x="69"/>
        <item x="192"/>
        <item t="default"/>
      </items>
    </pivotField>
    <pivotField axis="axisRow" showAll="0">
      <items count="283">
        <item x="33"/>
        <item x="76"/>
        <item x="48"/>
        <item x="180"/>
        <item x="172"/>
        <item x="133"/>
        <item x="75"/>
        <item x="173"/>
        <item x="141"/>
        <item x="262"/>
        <item x="273"/>
        <item x="35"/>
        <item x="116"/>
        <item x="174"/>
        <item x="224"/>
        <item x="225"/>
        <item x="117"/>
        <item x="189"/>
        <item x="69"/>
        <item x="118"/>
        <item x="236"/>
        <item x="9"/>
        <item x="235"/>
        <item x="177"/>
        <item x="114"/>
        <item x="77"/>
        <item x="30"/>
        <item x="144"/>
        <item x="146"/>
        <item x="145"/>
        <item x="91"/>
        <item x="80"/>
        <item x="81"/>
        <item x="135"/>
        <item x="32"/>
        <item x="229"/>
        <item x="45"/>
        <item x="157"/>
        <item x="24"/>
        <item x="113"/>
        <item x="18"/>
        <item x="132"/>
        <item x="272"/>
        <item x="158"/>
        <item x="47"/>
        <item x="139"/>
        <item x="274"/>
        <item x="3"/>
        <item x="204"/>
        <item x="185"/>
        <item x="140"/>
        <item x="183"/>
        <item x="187"/>
        <item x="252"/>
        <item x="221"/>
        <item x="83"/>
        <item x="138"/>
        <item x="39"/>
        <item x="143"/>
        <item x="178"/>
        <item x="223"/>
        <item x="222"/>
        <item x="8"/>
        <item x="268"/>
        <item x="264"/>
        <item x="276"/>
        <item x="270"/>
        <item x="258"/>
        <item x="107"/>
        <item x="251"/>
        <item x="260"/>
        <item x="255"/>
        <item x="254"/>
        <item x="188"/>
        <item x="105"/>
        <item x="40"/>
        <item x="56"/>
        <item x="71"/>
        <item x="79"/>
        <item x="97"/>
        <item x="13"/>
        <item x="211"/>
        <item x="89"/>
        <item x="41"/>
        <item x="230"/>
        <item x="43"/>
        <item x="42"/>
        <item x="166"/>
        <item x="161"/>
        <item x="22"/>
        <item x="162"/>
        <item x="124"/>
        <item x="121"/>
        <item x="165"/>
        <item x="54"/>
        <item x="29"/>
        <item x="46"/>
        <item x="55"/>
        <item x="59"/>
        <item x="37"/>
        <item x="164"/>
        <item x="92"/>
        <item x="148"/>
        <item x="23"/>
        <item x="257"/>
        <item x="256"/>
        <item x="267"/>
        <item x="82"/>
        <item x="27"/>
        <item x="220"/>
        <item x="218"/>
        <item x="219"/>
        <item x="7"/>
        <item x="111"/>
        <item x="275"/>
        <item x="259"/>
        <item x="154"/>
        <item x="153"/>
        <item x="136"/>
        <item x="265"/>
        <item x="5"/>
        <item x="208"/>
        <item x="0"/>
        <item x="203"/>
        <item x="62"/>
        <item x="25"/>
        <item x="61"/>
        <item x="64"/>
        <item x="201"/>
        <item x="199"/>
        <item x="194"/>
        <item x="200"/>
        <item x="95"/>
        <item x="196"/>
        <item x="155"/>
        <item x="197"/>
        <item x="198"/>
        <item x="193"/>
        <item x="63"/>
        <item x="60"/>
        <item x="202"/>
        <item x="195"/>
        <item x="182"/>
        <item x="131"/>
        <item x="101"/>
        <item x="104"/>
        <item x="50"/>
        <item x="102"/>
        <item x="169"/>
        <item x="86"/>
        <item x="34"/>
        <item x="51"/>
        <item x="149"/>
        <item x="74"/>
        <item x="87"/>
        <item x="128"/>
        <item x="151"/>
        <item x="261"/>
        <item x="36"/>
        <item x="179"/>
        <item x="142"/>
        <item x="266"/>
        <item x="26"/>
        <item x="78"/>
        <item x="4"/>
        <item x="206"/>
        <item x="205"/>
        <item x="207"/>
        <item x="156"/>
        <item x="6"/>
        <item x="209"/>
        <item x="58"/>
        <item x="215"/>
        <item x="93"/>
        <item x="125"/>
        <item x="233"/>
        <item x="72"/>
        <item x="122"/>
        <item x="170"/>
        <item x="226"/>
        <item x="109"/>
        <item x="160"/>
        <item x="231"/>
        <item x="232"/>
        <item x="167"/>
        <item x="49"/>
        <item x="108"/>
        <item x="152"/>
        <item x="11"/>
        <item x="159"/>
        <item x="15"/>
        <item x="19"/>
        <item x="181"/>
        <item x="137"/>
        <item x="171"/>
        <item x="227"/>
        <item x="250"/>
        <item x="106"/>
        <item x="271"/>
        <item x="277"/>
        <item x="263"/>
        <item x="150"/>
        <item x="134"/>
        <item x="245"/>
        <item x="243"/>
        <item x="186"/>
        <item x="191"/>
        <item x="253"/>
        <item x="100"/>
        <item x="280"/>
        <item x="184"/>
        <item x="238"/>
        <item x="239"/>
        <item x="244"/>
        <item x="237"/>
        <item x="246"/>
        <item x="103"/>
        <item x="247"/>
        <item x="240"/>
        <item x="248"/>
        <item x="281"/>
        <item x="98"/>
        <item x="278"/>
        <item x="44"/>
        <item x="192"/>
        <item x="242"/>
        <item x="110"/>
        <item x="99"/>
        <item x="241"/>
        <item x="168"/>
        <item x="175"/>
        <item x="279"/>
        <item x="1"/>
        <item x="10"/>
        <item x="94"/>
        <item x="21"/>
        <item x="228"/>
        <item x="14"/>
        <item x="112"/>
        <item x="176"/>
        <item x="127"/>
        <item x="115"/>
        <item x="96"/>
        <item x="2"/>
        <item x="20"/>
        <item x="67"/>
        <item x="57"/>
        <item x="147"/>
        <item x="31"/>
        <item x="68"/>
        <item x="212"/>
        <item x="28"/>
        <item x="214"/>
        <item x="249"/>
        <item x="12"/>
        <item x="65"/>
        <item x="129"/>
        <item x="216"/>
        <item x="210"/>
        <item x="217"/>
        <item x="213"/>
        <item x="85"/>
        <item x="88"/>
        <item x="66"/>
        <item x="84"/>
        <item x="163"/>
        <item x="269"/>
        <item x="17"/>
        <item x="70"/>
        <item x="73"/>
        <item x="234"/>
        <item x="16"/>
        <item x="126"/>
        <item x="120"/>
        <item x="90"/>
        <item x="123"/>
        <item x="119"/>
        <item x="52"/>
        <item x="130"/>
        <item x="53"/>
        <item x="190"/>
        <item x="38"/>
        <item t="default"/>
      </items>
    </pivotField>
    <pivotField showAll="0"/>
    <pivotField showAll="0"/>
    <pivotField axis="axisRow" showAll="0">
      <items count="100">
        <item x="37"/>
        <item x="60"/>
        <item x="17"/>
        <item x="70"/>
        <item x="43"/>
        <item x="78"/>
        <item x="54"/>
        <item x="5"/>
        <item x="63"/>
        <item x="84"/>
        <item x="40"/>
        <item x="96"/>
        <item x="73"/>
        <item x="46"/>
        <item x="57"/>
        <item x="80"/>
        <item x="32"/>
        <item x="89"/>
        <item x="67"/>
        <item x="24"/>
        <item x="76"/>
        <item x="94"/>
        <item x="50"/>
        <item x="11"/>
        <item x="16"/>
        <item x="13"/>
        <item x="1"/>
        <item x="7"/>
        <item x="21"/>
        <item x="9"/>
        <item x="19"/>
        <item x="14"/>
        <item x="15"/>
        <item x="10"/>
        <item x="4"/>
        <item x="23"/>
        <item x="8"/>
        <item x="2"/>
        <item x="22"/>
        <item x="29"/>
        <item x="85"/>
        <item x="55"/>
        <item x="27"/>
        <item x="75"/>
        <item x="45"/>
        <item x="38"/>
        <item x="62"/>
        <item x="98"/>
        <item x="91"/>
        <item x="34"/>
        <item x="69"/>
        <item x="49"/>
        <item x="28"/>
        <item x="41"/>
        <item x="56"/>
        <item x="86"/>
        <item x="65"/>
        <item x="3"/>
        <item x="31"/>
        <item x="82"/>
        <item x="93"/>
        <item x="52"/>
        <item x="72"/>
        <item x="35"/>
        <item x="59"/>
        <item x="88"/>
        <item x="30"/>
        <item x="47"/>
        <item x="20"/>
        <item x="25"/>
        <item x="68"/>
        <item x="42"/>
        <item x="61"/>
        <item x="79"/>
        <item x="12"/>
        <item x="51"/>
        <item x="87"/>
        <item x="36"/>
        <item x="71"/>
        <item x="0"/>
        <item x="58"/>
        <item x="81"/>
        <item x="44"/>
        <item x="77"/>
        <item x="18"/>
        <item x="64"/>
        <item x="92"/>
        <item x="33"/>
        <item x="53"/>
        <item x="26"/>
        <item x="74"/>
        <item x="39"/>
        <item x="90"/>
        <item x="95"/>
        <item x="6"/>
        <item x="97"/>
        <item x="66"/>
        <item x="48"/>
        <item x="83"/>
        <item t="default"/>
      </items>
    </pivotField>
    <pivotField numFmtId="9" showAll="0"/>
    <pivotField showAll="0"/>
    <pivotField showAll="0"/>
  </pivotFields>
  <rowFields count="2">
    <field x="4"/>
    <field x="7"/>
  </rowFields>
  <rowItems count="584">
    <i>
      <x/>
    </i>
    <i r="1">
      <x v="84"/>
    </i>
    <i>
      <x v="1"/>
    </i>
    <i r="1">
      <x v="78"/>
    </i>
    <i>
      <x v="2"/>
    </i>
    <i r="1">
      <x v="71"/>
    </i>
    <i>
      <x v="3"/>
    </i>
    <i r="1">
      <x v="82"/>
    </i>
    <i>
      <x v="4"/>
    </i>
    <i r="1">
      <x v="63"/>
    </i>
    <i>
      <x v="5"/>
    </i>
    <i r="1">
      <x v="54"/>
    </i>
    <i>
      <x v="6"/>
    </i>
    <i r="1">
      <x v="3"/>
    </i>
    <i>
      <x v="7"/>
    </i>
    <i r="1">
      <x v="77"/>
    </i>
    <i>
      <x v="8"/>
    </i>
    <i r="1">
      <x v="90"/>
    </i>
    <i>
      <x v="9"/>
    </i>
    <i r="1">
      <x v="56"/>
    </i>
    <i>
      <x v="10"/>
    </i>
    <i r="1">
      <x v="73"/>
    </i>
    <i>
      <x v="11"/>
    </i>
    <i r="1">
      <x v="66"/>
    </i>
    <i>
      <x v="12"/>
    </i>
    <i r="1">
      <x v="77"/>
    </i>
    <i>
      <x v="13"/>
    </i>
    <i r="1">
      <x/>
    </i>
    <i>
      <x v="14"/>
    </i>
    <i r="1">
      <x v="55"/>
    </i>
    <i>
      <x v="15"/>
    </i>
    <i r="1">
      <x v="2"/>
    </i>
    <i>
      <x v="16"/>
    </i>
    <i r="1">
      <x v="44"/>
    </i>
    <i>
      <x v="17"/>
    </i>
    <i r="1">
      <x v="88"/>
    </i>
    <i>
      <x v="18"/>
    </i>
    <i r="1">
      <x v="85"/>
    </i>
    <i>
      <x v="19"/>
    </i>
    <i r="1">
      <x v="13"/>
    </i>
    <i>
      <x v="20"/>
    </i>
    <i r="1">
      <x v="1"/>
    </i>
    <i>
      <x v="21"/>
    </i>
    <i r="1">
      <x v="11"/>
    </i>
    <i r="1">
      <x v="29"/>
    </i>
    <i>
      <x v="22"/>
    </i>
    <i r="1">
      <x v="45"/>
    </i>
    <i>
      <x v="23"/>
    </i>
    <i r="1">
      <x v="10"/>
    </i>
    <i>
      <x v="24"/>
    </i>
    <i r="1">
      <x v="63"/>
    </i>
    <i>
      <x v="25"/>
    </i>
    <i r="1">
      <x v="62"/>
    </i>
    <i>
      <x v="26"/>
    </i>
    <i r="1">
      <x v="89"/>
    </i>
    <i>
      <x v="27"/>
    </i>
    <i r="1">
      <x v="78"/>
    </i>
    <i>
      <x v="28"/>
    </i>
    <i r="1">
      <x v="3"/>
    </i>
    <i>
      <x v="29"/>
    </i>
    <i r="1">
      <x v="59"/>
    </i>
    <i>
      <x v="30"/>
    </i>
    <i r="1">
      <x v="9"/>
    </i>
    <i>
      <x v="31"/>
    </i>
    <i r="1">
      <x v="43"/>
    </i>
    <i>
      <x v="32"/>
    </i>
    <i r="1">
      <x v="20"/>
    </i>
    <i>
      <x v="33"/>
    </i>
    <i r="1">
      <x v="87"/>
    </i>
    <i>
      <x v="34"/>
    </i>
    <i r="1">
      <x v="52"/>
    </i>
    <i>
      <x v="35"/>
    </i>
    <i r="1">
      <x v="92"/>
    </i>
    <i>
      <x v="36"/>
    </i>
    <i r="1">
      <x v="91"/>
    </i>
    <i>
      <x v="37"/>
    </i>
    <i r="1">
      <x v="42"/>
    </i>
    <i>
      <x v="38"/>
    </i>
    <i r="1">
      <x v="19"/>
    </i>
    <i r="1">
      <x v="69"/>
    </i>
    <i>
      <x v="39"/>
    </i>
    <i r="1">
      <x v="88"/>
    </i>
    <i>
      <x v="40"/>
    </i>
    <i r="1">
      <x v="84"/>
    </i>
    <i>
      <x v="41"/>
    </i>
    <i r="1">
      <x v="20"/>
    </i>
    <i>
      <x v="42"/>
    </i>
    <i r="1">
      <x v="15"/>
    </i>
    <i>
      <x v="43"/>
    </i>
    <i r="1">
      <x v="69"/>
    </i>
    <i>
      <x v="44"/>
    </i>
    <i r="1">
      <x v="53"/>
    </i>
    <i>
      <x v="45"/>
    </i>
    <i r="1">
      <x v="42"/>
    </i>
    <i>
      <x v="46"/>
    </i>
    <i r="1">
      <x v="42"/>
    </i>
    <i>
      <x v="47"/>
    </i>
    <i r="1">
      <x v="39"/>
    </i>
    <i r="1">
      <x v="57"/>
    </i>
    <i>
      <x v="48"/>
    </i>
    <i r="1">
      <x v="70"/>
    </i>
    <i>
      <x v="49"/>
    </i>
    <i r="1">
      <x v="51"/>
    </i>
    <i>
      <x v="50"/>
    </i>
    <i r="1">
      <x v="9"/>
    </i>
    <i>
      <x v="51"/>
    </i>
    <i r="1">
      <x v="67"/>
    </i>
    <i>
      <x v="52"/>
    </i>
    <i r="1">
      <x v="75"/>
    </i>
    <i>
      <x v="53"/>
    </i>
    <i r="1">
      <x v="95"/>
    </i>
    <i>
      <x v="54"/>
    </i>
    <i r="1">
      <x v="98"/>
    </i>
    <i>
      <x v="55"/>
    </i>
    <i r="1">
      <x v="83"/>
    </i>
    <i>
      <x v="56"/>
    </i>
    <i r="1">
      <x v="73"/>
    </i>
    <i>
      <x v="57"/>
    </i>
    <i r="1">
      <x v="16"/>
    </i>
    <i>
      <x v="58"/>
    </i>
    <i r="1">
      <x v="18"/>
    </i>
    <i>
      <x v="59"/>
    </i>
    <i r="1">
      <x v="53"/>
    </i>
    <i>
      <x v="60"/>
    </i>
    <i r="1">
      <x v="40"/>
    </i>
    <i>
      <x v="61"/>
    </i>
    <i r="1">
      <x v="9"/>
    </i>
    <i>
      <x v="62"/>
    </i>
    <i r="1">
      <x v="36"/>
    </i>
    <i r="1">
      <x v="80"/>
    </i>
    <i>
      <x v="63"/>
    </i>
    <i r="1">
      <x v="54"/>
    </i>
    <i>
      <x v="64"/>
    </i>
    <i r="1">
      <x v="91"/>
    </i>
    <i>
      <x v="65"/>
    </i>
    <i r="1">
      <x v="90"/>
    </i>
    <i>
      <x v="66"/>
    </i>
    <i r="1">
      <x v="87"/>
    </i>
    <i>
      <x v="67"/>
    </i>
    <i r="1">
      <x v="64"/>
    </i>
    <i>
      <x v="68"/>
    </i>
    <i r="1">
      <x v="53"/>
    </i>
    <i>
      <x v="69"/>
    </i>
    <i r="1">
      <x v="13"/>
    </i>
    <i>
      <x v="70"/>
    </i>
    <i r="1">
      <x v="2"/>
    </i>
    <i>
      <x v="71"/>
    </i>
    <i r="1">
      <x v="72"/>
    </i>
    <i>
      <x v="72"/>
    </i>
    <i r="1">
      <x v="8"/>
    </i>
    <i>
      <x v="73"/>
    </i>
    <i r="1">
      <x v="61"/>
    </i>
    <i>
      <x v="74"/>
    </i>
    <i r="1">
      <x v="1"/>
    </i>
    <i>
      <x v="75"/>
    </i>
    <i r="1">
      <x v="87"/>
    </i>
    <i>
      <x v="76"/>
    </i>
    <i r="1">
      <x v="75"/>
    </i>
    <i>
      <x v="77"/>
    </i>
    <i r="1">
      <x v="7"/>
    </i>
    <i r="1">
      <x v="96"/>
    </i>
    <i>
      <x v="78"/>
    </i>
    <i r="1">
      <x v="90"/>
    </i>
    <i>
      <x v="79"/>
    </i>
    <i r="1">
      <x v="92"/>
    </i>
    <i>
      <x v="80"/>
    </i>
    <i r="1">
      <x v="25"/>
    </i>
    <i r="1">
      <x v="81"/>
    </i>
    <i>
      <x v="81"/>
    </i>
    <i r="1">
      <x v="43"/>
    </i>
    <i>
      <x v="82"/>
    </i>
    <i r="1">
      <x v="59"/>
    </i>
    <i>
      <x v="83"/>
    </i>
    <i r="1">
      <x v="23"/>
    </i>
    <i>
      <x v="84"/>
    </i>
    <i r="1">
      <x v="48"/>
    </i>
    <i>
      <x v="85"/>
    </i>
    <i r="1">
      <x/>
    </i>
    <i>
      <x v="86"/>
    </i>
    <i r="1">
      <x v="63"/>
    </i>
    <i>
      <x v="87"/>
    </i>
    <i r="1">
      <x v="2"/>
    </i>
    <i>
      <x v="88"/>
    </i>
    <i r="1">
      <x v="52"/>
    </i>
    <i>
      <x v="89"/>
    </i>
    <i r="1">
      <x v="7"/>
    </i>
    <i r="1">
      <x v="38"/>
    </i>
    <i>
      <x v="90"/>
    </i>
    <i r="1">
      <x v="84"/>
    </i>
    <i>
      <x v="91"/>
    </i>
    <i r="1">
      <x v="64"/>
    </i>
    <i>
      <x v="92"/>
    </i>
    <i r="1">
      <x v="8"/>
    </i>
    <i>
      <x v="93"/>
    </i>
    <i r="1">
      <x v="94"/>
    </i>
    <i>
      <x v="94"/>
    </i>
    <i r="1">
      <x v="51"/>
    </i>
    <i>
      <x v="95"/>
    </i>
    <i r="1">
      <x v="69"/>
    </i>
    <i>
      <x v="96"/>
    </i>
    <i r="1">
      <x v="10"/>
    </i>
    <i>
      <x v="97"/>
    </i>
    <i r="1">
      <x v="22"/>
    </i>
    <i>
      <x v="98"/>
    </i>
    <i r="1">
      <x v="6"/>
    </i>
    <i>
      <x v="99"/>
    </i>
    <i r="1">
      <x v="2"/>
    </i>
    <i>
      <x v="100"/>
    </i>
    <i r="1">
      <x v="66"/>
    </i>
    <i>
      <x v="101"/>
    </i>
    <i r="1">
      <x v="40"/>
    </i>
    <i>
      <x v="102"/>
    </i>
    <i r="1">
      <x v="47"/>
    </i>
    <i>
      <x v="103"/>
    </i>
    <i r="1">
      <x v="35"/>
    </i>
    <i r="1">
      <x v="83"/>
    </i>
    <i>
      <x v="104"/>
    </i>
    <i r="1">
      <x v="16"/>
    </i>
    <i>
      <x v="105"/>
    </i>
    <i r="1">
      <x v="80"/>
    </i>
    <i>
      <x v="106"/>
    </i>
    <i r="1">
      <x v="75"/>
    </i>
    <i>
      <x v="107"/>
    </i>
    <i r="1">
      <x v="66"/>
    </i>
    <i>
      <x v="108"/>
    </i>
    <i r="1">
      <x v="42"/>
    </i>
    <i>
      <x v="109"/>
    </i>
    <i r="1">
      <x v="59"/>
    </i>
    <i>
      <x v="110"/>
    </i>
    <i r="1">
      <x v="15"/>
    </i>
    <i>
      <x v="111"/>
    </i>
    <i r="1">
      <x v="81"/>
    </i>
    <i>
      <x v="112"/>
    </i>
    <i r="1">
      <x v="27"/>
    </i>
    <i>
      <x v="113"/>
    </i>
    <i r="1">
      <x v="70"/>
    </i>
    <i>
      <x v="114"/>
    </i>
    <i r="1">
      <x v="9"/>
    </i>
    <i>
      <x v="115"/>
    </i>
    <i r="1">
      <x v="46"/>
    </i>
    <i>
      <x v="116"/>
    </i>
    <i r="1">
      <x v="94"/>
    </i>
    <i>
      <x v="117"/>
    </i>
    <i r="1">
      <x v="7"/>
    </i>
    <i>
      <x v="118"/>
    </i>
    <i r="1">
      <x v="66"/>
    </i>
    <i>
      <x v="119"/>
    </i>
    <i r="1">
      <x v="61"/>
    </i>
    <i>
      <x v="120"/>
    </i>
    <i r="1">
      <x v="7"/>
    </i>
    <i r="1">
      <x v="44"/>
    </i>
    <i>
      <x v="121"/>
    </i>
    <i r="1">
      <x v="62"/>
    </i>
    <i>
      <x v="122"/>
    </i>
    <i r="1">
      <x v="69"/>
    </i>
    <i r="1">
      <x v="79"/>
    </i>
    <i>
      <x v="123"/>
    </i>
    <i r="1">
      <x v="18"/>
    </i>
    <i>
      <x v="124"/>
    </i>
    <i r="1">
      <x v="14"/>
    </i>
    <i>
      <x v="125"/>
    </i>
    <i r="1">
      <x v="69"/>
    </i>
    <i>
      <x v="126"/>
    </i>
    <i r="1">
      <x v="54"/>
    </i>
    <i>
      <x v="127"/>
    </i>
    <i r="1">
      <x v="64"/>
    </i>
    <i>
      <x v="128"/>
    </i>
    <i r="1">
      <x v="56"/>
    </i>
    <i>
      <x v="129"/>
    </i>
    <i r="1">
      <x v="8"/>
    </i>
    <i>
      <x v="130"/>
    </i>
    <i r="1">
      <x v="80"/>
    </i>
    <i>
      <x v="131"/>
    </i>
    <i r="1">
      <x v="85"/>
    </i>
    <i>
      <x v="132"/>
    </i>
    <i r="1">
      <x v="65"/>
    </i>
    <i>
      <x v="133"/>
    </i>
    <i r="1">
      <x v="1"/>
    </i>
    <i>
      <x v="134"/>
    </i>
    <i r="1">
      <x v="14"/>
    </i>
    <i>
      <x v="135"/>
    </i>
    <i r="1">
      <x v="72"/>
    </i>
    <i>
      <x v="136"/>
    </i>
    <i r="1">
      <x v="46"/>
    </i>
    <i>
      <x v="137"/>
    </i>
    <i r="1">
      <x v="14"/>
    </i>
    <i>
      <x v="138"/>
    </i>
    <i r="1">
      <x v="80"/>
    </i>
    <i>
      <x v="139"/>
    </i>
    <i r="1">
      <x v="41"/>
    </i>
    <i>
      <x v="140"/>
    </i>
    <i r="1">
      <x v="96"/>
    </i>
    <i>
      <x v="141"/>
    </i>
    <i r="1">
      <x v="64"/>
    </i>
    <i>
      <x v="142"/>
    </i>
    <i r="1">
      <x v="13"/>
    </i>
    <i>
      <x v="143"/>
    </i>
    <i r="1">
      <x v="61"/>
    </i>
    <i>
      <x v="144"/>
    </i>
    <i r="1">
      <x v="60"/>
    </i>
    <i>
      <x v="145"/>
    </i>
    <i r="1">
      <x v="45"/>
    </i>
    <i>
      <x v="146"/>
    </i>
    <i r="1">
      <x v="82"/>
    </i>
    <i>
      <x v="147"/>
    </i>
    <i r="1">
      <x v="21"/>
    </i>
    <i>
      <x v="148"/>
    </i>
    <i r="1">
      <x v="87"/>
    </i>
    <i>
      <x v="149"/>
    </i>
    <i r="1">
      <x v="73"/>
    </i>
    <i>
      <x v="150"/>
    </i>
    <i r="1">
      <x v="7"/>
    </i>
    <i>
      <x v="151"/>
    </i>
    <i r="1">
      <x v="13"/>
    </i>
    <i>
      <x v="152"/>
    </i>
    <i r="1">
      <x v="11"/>
    </i>
    <i>
      <x v="153"/>
    </i>
    <i r="1">
      <x v="50"/>
    </i>
    <i>
      <x v="154"/>
    </i>
    <i r="1">
      <x v="15"/>
    </i>
    <i>
      <x v="155"/>
    </i>
    <i r="1">
      <x v="56"/>
    </i>
    <i>
      <x v="156"/>
    </i>
    <i r="1">
      <x v="62"/>
    </i>
    <i>
      <x v="157"/>
    </i>
    <i r="1">
      <x v="84"/>
    </i>
    <i>
      <x v="158"/>
    </i>
    <i r="1">
      <x v="94"/>
    </i>
    <i>
      <x v="159"/>
    </i>
    <i r="1">
      <x v="4"/>
    </i>
    <i>
      <x v="160"/>
    </i>
    <i r="1">
      <x v="50"/>
    </i>
    <i>
      <x v="161"/>
    </i>
    <i r="1">
      <x v="20"/>
    </i>
    <i>
      <x v="162"/>
    </i>
    <i r="1">
      <x v="89"/>
    </i>
    <i>
      <x v="163"/>
    </i>
    <i r="1">
      <x v="12"/>
    </i>
    <i>
      <x v="164"/>
    </i>
    <i r="1">
      <x v="34"/>
    </i>
    <i>
      <x v="165"/>
    </i>
    <i r="1">
      <x v="3"/>
    </i>
    <i>
      <x v="166"/>
    </i>
    <i r="1">
      <x v="50"/>
    </i>
    <i>
      <x v="167"/>
    </i>
    <i r="1">
      <x v="78"/>
    </i>
    <i>
      <x v="168"/>
    </i>
    <i r="1">
      <x v="52"/>
    </i>
    <i>
      <x v="169"/>
    </i>
    <i r="1">
      <x v="94"/>
    </i>
    <i>
      <x v="170"/>
    </i>
    <i r="1">
      <x v="12"/>
    </i>
    <i>
      <x v="171"/>
    </i>
    <i r="1">
      <x v="88"/>
    </i>
    <i>
      <x v="172"/>
    </i>
    <i r="1">
      <x v="5"/>
    </i>
    <i>
      <x v="173"/>
    </i>
    <i r="1">
      <x v="55"/>
    </i>
    <i>
      <x v="174"/>
    </i>
    <i r="1">
      <x v="46"/>
    </i>
    <i>
      <x v="175"/>
    </i>
    <i r="1">
      <x v="21"/>
    </i>
    <i>
      <x v="176"/>
    </i>
    <i r="1">
      <x v="18"/>
    </i>
    <i>
      <x v="177"/>
    </i>
    <i r="1">
      <x v="72"/>
    </i>
    <i>
      <x v="178"/>
    </i>
    <i r="1">
      <x v="49"/>
    </i>
    <i>
      <x v="179"/>
    </i>
    <i r="1">
      <x v="76"/>
    </i>
    <i>
      <x v="180"/>
    </i>
    <i r="1">
      <x v="82"/>
    </i>
    <i>
      <x v="181"/>
    </i>
    <i r="1">
      <x v="42"/>
    </i>
    <i>
      <x v="182"/>
    </i>
    <i r="1">
      <x v="86"/>
    </i>
    <i>
      <x v="183"/>
    </i>
    <i r="1">
      <x v="60"/>
    </i>
    <i>
      <x v="184"/>
    </i>
    <i r="1">
      <x v="74"/>
    </i>
    <i>
      <x v="185"/>
    </i>
    <i r="1">
      <x v="4"/>
    </i>
    <i>
      <x v="186"/>
    </i>
    <i r="1">
      <x v="67"/>
    </i>
    <i>
      <x v="187"/>
    </i>
    <i r="1">
      <x v="55"/>
    </i>
    <i>
      <x v="188"/>
    </i>
    <i r="1">
      <x v="2"/>
    </i>
    <i r="1">
      <x v="23"/>
    </i>
    <i>
      <x v="189"/>
    </i>
    <i r="1">
      <x v="89"/>
    </i>
    <i>
      <x v="190"/>
    </i>
    <i r="1">
      <x v="32"/>
    </i>
    <i>
      <x v="191"/>
    </i>
    <i r="1">
      <x v="30"/>
    </i>
    <i r="1">
      <x v="71"/>
    </i>
    <i>
      <x v="192"/>
    </i>
    <i r="1">
      <x v="44"/>
    </i>
    <i>
      <x v="193"/>
    </i>
    <i r="1">
      <x v="15"/>
    </i>
    <i>
      <x v="194"/>
    </i>
    <i r="1">
      <x v="23"/>
    </i>
    <i>
      <x v="195"/>
    </i>
    <i r="1">
      <x v="65"/>
    </i>
    <i>
      <x v="196"/>
    </i>
    <i r="1">
      <x v="44"/>
    </i>
    <i>
      <x v="197"/>
    </i>
    <i r="1">
      <x v="93"/>
    </i>
    <i>
      <x v="198"/>
    </i>
    <i r="1">
      <x v="66"/>
    </i>
    <i>
      <x v="199"/>
    </i>
    <i r="1">
      <x v="50"/>
    </i>
    <i>
      <x v="200"/>
    </i>
    <i r="1">
      <x v="12"/>
    </i>
    <i>
      <x v="201"/>
    </i>
    <i r="1">
      <x v="71"/>
    </i>
    <i>
      <x v="202"/>
    </i>
    <i r="1">
      <x v="5"/>
    </i>
    <i>
      <x v="203"/>
    </i>
    <i r="1">
      <x v="19"/>
    </i>
    <i>
      <x v="204"/>
    </i>
    <i r="1">
      <x v="49"/>
    </i>
    <i>
      <x v="205"/>
    </i>
    <i r="1">
      <x v="22"/>
    </i>
    <i>
      <x v="206"/>
    </i>
    <i r="1">
      <x v="41"/>
    </i>
    <i>
      <x v="207"/>
    </i>
    <i r="1">
      <x v="51"/>
    </i>
    <i>
      <x v="208"/>
    </i>
    <i r="1">
      <x v="86"/>
    </i>
    <i>
      <x v="209"/>
    </i>
    <i r="1">
      <x v="59"/>
    </i>
    <i>
      <x v="210"/>
    </i>
    <i r="1">
      <x v="97"/>
    </i>
    <i>
      <x v="211"/>
    </i>
    <i r="1">
      <x v="53"/>
    </i>
    <i>
      <x v="212"/>
    </i>
    <i r="1">
      <x v="11"/>
    </i>
    <i>
      <x v="213"/>
    </i>
    <i r="1">
      <x v="70"/>
    </i>
    <i>
      <x v="214"/>
    </i>
    <i r="1">
      <x v="93"/>
    </i>
    <i>
      <x v="215"/>
    </i>
    <i r="1">
      <x v="88"/>
    </i>
    <i>
      <x v="216"/>
    </i>
    <i r="1">
      <x v="74"/>
    </i>
    <i>
      <x v="217"/>
    </i>
    <i r="1">
      <x v="63"/>
    </i>
    <i>
      <x v="218"/>
    </i>
    <i r="1">
      <x v="67"/>
    </i>
    <i>
      <x v="219"/>
    </i>
    <i r="1">
      <x v="4"/>
    </i>
    <i>
      <x v="220"/>
    </i>
    <i r="1">
      <x v="3"/>
    </i>
    <i>
      <x v="221"/>
    </i>
    <i r="1">
      <x v="48"/>
    </i>
    <i>
      <x v="222"/>
    </i>
    <i r="1">
      <x v="18"/>
    </i>
    <i>
      <x v="223"/>
    </i>
    <i r="1">
      <x v="45"/>
    </i>
    <i>
      <x v="224"/>
    </i>
    <i r="1">
      <x v="54"/>
    </i>
    <i>
      <x v="225"/>
    </i>
    <i r="1">
      <x v="6"/>
    </i>
    <i>
      <x v="226"/>
    </i>
    <i r="1">
      <x v="6"/>
    </i>
    <i>
      <x v="227"/>
    </i>
    <i r="1">
      <x v="7"/>
    </i>
    <i>
      <x v="228"/>
    </i>
    <i r="1">
      <x v="82"/>
    </i>
    <i>
      <x v="229"/>
    </i>
    <i r="1">
      <x v="16"/>
    </i>
    <i>
      <x v="230"/>
    </i>
    <i r="1">
      <x v="45"/>
    </i>
    <i>
      <x v="231"/>
    </i>
    <i r="1">
      <x v="78"/>
    </i>
    <i>
      <x v="232"/>
    </i>
    <i r="1">
      <x v="26"/>
    </i>
    <i r="1">
      <x v="49"/>
    </i>
    <i>
      <x v="233"/>
    </i>
    <i r="1">
      <x v="33"/>
    </i>
    <i r="1">
      <x v="77"/>
    </i>
    <i>
      <x v="234"/>
    </i>
    <i r="1">
      <x v="76"/>
    </i>
    <i>
      <x v="235"/>
    </i>
    <i r="1">
      <x v="28"/>
    </i>
    <i r="1">
      <x v="49"/>
    </i>
    <i>
      <x v="236"/>
    </i>
    <i r="1">
      <x v="17"/>
    </i>
    <i>
      <x v="237"/>
    </i>
    <i r="1">
      <x v="31"/>
    </i>
    <i>
      <x v="238"/>
    </i>
    <i r="1">
      <x v="19"/>
    </i>
    <i>
      <x v="239"/>
    </i>
    <i r="1">
      <x v="91"/>
    </i>
    <i>
      <x v="240"/>
    </i>
    <i r="1">
      <x v="84"/>
    </i>
    <i>
      <x v="241"/>
    </i>
    <i r="1">
      <x v="4"/>
    </i>
    <i>
      <x v="242"/>
    </i>
    <i r="1">
      <x v="17"/>
    </i>
    <i>
      <x v="243"/>
    </i>
    <i r="1">
      <x v="37"/>
    </i>
    <i r="1">
      <x v="58"/>
    </i>
    <i>
      <x v="244"/>
    </i>
    <i r="1">
      <x v="58"/>
    </i>
    <i r="1">
      <x v="68"/>
    </i>
    <i>
      <x v="245"/>
    </i>
    <i r="1">
      <x v="46"/>
    </i>
    <i>
      <x v="246"/>
    </i>
    <i r="1">
      <x v="61"/>
    </i>
    <i>
      <x v="247"/>
    </i>
    <i r="1">
      <x v="85"/>
    </i>
    <i>
      <x v="248"/>
    </i>
    <i r="1">
      <x v="42"/>
    </i>
    <i>
      <x v="249"/>
    </i>
    <i r="1">
      <x v="8"/>
    </i>
    <i>
      <x v="250"/>
    </i>
    <i r="1">
      <x v="20"/>
    </i>
    <i>
      <x v="251"/>
    </i>
    <i r="1">
      <x v="52"/>
    </i>
    <i>
      <x v="252"/>
    </i>
    <i r="1">
      <x v="83"/>
    </i>
    <i>
      <x v="253"/>
    </i>
    <i r="1">
      <x v="77"/>
    </i>
    <i>
      <x v="254"/>
    </i>
    <i r="1">
      <x v="21"/>
    </i>
    <i r="1">
      <x v="74"/>
    </i>
    <i>
      <x v="255"/>
    </i>
    <i r="1">
      <x v="1"/>
    </i>
    <i>
      <x v="256"/>
    </i>
    <i r="1">
      <x v="12"/>
    </i>
    <i>
      <x v="257"/>
    </i>
    <i r="1">
      <x v="52"/>
    </i>
    <i>
      <x v="258"/>
    </i>
    <i r="1">
      <x v="90"/>
    </i>
    <i>
      <x v="259"/>
    </i>
    <i r="1">
      <x v="73"/>
    </i>
    <i>
      <x v="260"/>
    </i>
    <i r="1">
      <x v="66"/>
    </i>
    <i>
      <x v="261"/>
    </i>
    <i r="1">
      <x v="52"/>
    </i>
    <i>
      <x v="262"/>
    </i>
    <i r="1">
      <x v="81"/>
    </i>
    <i>
      <x v="263"/>
    </i>
    <i r="1">
      <x v="72"/>
    </i>
    <i>
      <x v="264"/>
    </i>
    <i r="1">
      <x v="5"/>
    </i>
    <i>
      <x v="265"/>
    </i>
    <i r="1">
      <x v="39"/>
    </i>
    <i>
      <x v="266"/>
    </i>
    <i r="1">
      <x v="5"/>
    </i>
    <i>
      <x v="267"/>
    </i>
    <i r="1">
      <x v="2"/>
    </i>
    <i r="1">
      <x v="75"/>
    </i>
    <i>
      <x v="268"/>
    </i>
    <i r="1">
      <x v="56"/>
    </i>
    <i>
      <x v="269"/>
    </i>
    <i r="1">
      <x v="70"/>
    </i>
    <i>
      <x v="270"/>
    </i>
    <i r="1">
      <x v="74"/>
    </i>
    <i>
      <x v="271"/>
    </i>
    <i r="1">
      <x v="24"/>
    </i>
    <i>
      <x v="272"/>
    </i>
    <i r="1">
      <x v="2"/>
    </i>
    <i>
      <x v="273"/>
    </i>
    <i r="1">
      <x v="51"/>
    </i>
    <i>
      <x v="274"/>
    </i>
    <i r="1">
      <x v="98"/>
    </i>
    <i>
      <x v="275"/>
    </i>
    <i r="1">
      <x v="16"/>
    </i>
    <i>
      <x v="276"/>
    </i>
    <i r="1">
      <x v="95"/>
    </i>
    <i>
      <x v="277"/>
    </i>
    <i r="1">
      <x v="67"/>
    </i>
    <i>
      <x v="278"/>
    </i>
    <i r="1">
      <x v="91"/>
    </i>
    <i>
      <x v="279"/>
    </i>
    <i r="1">
      <x v="97"/>
    </i>
    <i>
      <x v="280"/>
    </i>
    <i r="1">
      <x v="6"/>
    </i>
    <i>
      <x v="281"/>
    </i>
    <i r="1">
      <x v="7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0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587"/>
  <sheetViews>
    <sheetView tabSelected="1" workbookViewId="0">
      <selection activeCell="A3" sqref="A3"/>
    </sheetView>
  </sheetViews>
  <sheetFormatPr defaultRowHeight="15" x14ac:dyDescent="0.25"/>
  <cols>
    <col min="1" max="1" width="31.5703125" customWidth="1"/>
    <col min="2" max="2" width="7.140625" customWidth="1"/>
    <col min="3" max="27" width="9.28515625" bestFit="1" customWidth="1"/>
    <col min="28" max="28" width="10.28515625" bestFit="1" customWidth="1"/>
    <col min="29" max="40" width="9.28515625" bestFit="1" customWidth="1"/>
    <col min="41" max="58" width="7.7109375" customWidth="1"/>
    <col min="59" max="59" width="9.28515625" bestFit="1" customWidth="1"/>
    <col min="60" max="69" width="7.7109375" customWidth="1"/>
    <col min="70" max="70" width="9.28515625" bestFit="1" customWidth="1"/>
    <col min="71" max="80" width="7.7109375" customWidth="1"/>
    <col min="81" max="81" width="9.28515625" bestFit="1" customWidth="1"/>
    <col min="82" max="100" width="7.7109375" customWidth="1"/>
    <col min="101" max="101" width="11.28515625" bestFit="1" customWidth="1"/>
  </cols>
  <sheetData>
    <row r="3" spans="1:1" x14ac:dyDescent="0.25">
      <c r="A3" s="35" t="s">
        <v>1587</v>
      </c>
    </row>
    <row r="4" spans="1:1" x14ac:dyDescent="0.25">
      <c r="A4" s="24" t="s">
        <v>1211</v>
      </c>
    </row>
    <row r="5" spans="1:1" x14ac:dyDescent="0.25">
      <c r="A5" s="36" t="s">
        <v>260</v>
      </c>
    </row>
    <row r="6" spans="1:1" x14ac:dyDescent="0.25">
      <c r="A6" s="24" t="s">
        <v>1253</v>
      </c>
    </row>
    <row r="7" spans="1:1" x14ac:dyDescent="0.25">
      <c r="A7" s="36" t="s">
        <v>1496</v>
      </c>
    </row>
    <row r="8" spans="1:1" x14ac:dyDescent="0.25">
      <c r="A8" s="24" t="s">
        <v>1225</v>
      </c>
    </row>
    <row r="9" spans="1:1" x14ac:dyDescent="0.25">
      <c r="A9" s="36" t="s">
        <v>1470</v>
      </c>
    </row>
    <row r="10" spans="1:1" x14ac:dyDescent="0.25">
      <c r="A10" s="24" t="s">
        <v>1356</v>
      </c>
    </row>
    <row r="11" spans="1:1" x14ac:dyDescent="0.25">
      <c r="A11" s="36" t="s">
        <v>1472</v>
      </c>
    </row>
    <row r="12" spans="1:1" x14ac:dyDescent="0.25">
      <c r="A12" s="24" t="s">
        <v>1349</v>
      </c>
    </row>
    <row r="13" spans="1:1" x14ac:dyDescent="0.25">
      <c r="A13" s="36" t="s">
        <v>1464</v>
      </c>
    </row>
    <row r="14" spans="1:1" x14ac:dyDescent="0.25">
      <c r="A14" s="24" t="s">
        <v>1310</v>
      </c>
    </row>
    <row r="15" spans="1:1" x14ac:dyDescent="0.25">
      <c r="A15" s="36" t="s">
        <v>278</v>
      </c>
    </row>
    <row r="16" spans="1:1" x14ac:dyDescent="0.25">
      <c r="A16" s="24" t="s">
        <v>1252</v>
      </c>
    </row>
    <row r="17" spans="1:1" x14ac:dyDescent="0.25">
      <c r="A17" s="36" t="s">
        <v>1495</v>
      </c>
    </row>
    <row r="18" spans="1:1" x14ac:dyDescent="0.25">
      <c r="A18" s="24" t="s">
        <v>1350</v>
      </c>
    </row>
    <row r="19" spans="1:1" x14ac:dyDescent="0.25">
      <c r="A19" s="36" t="s">
        <v>1465</v>
      </c>
    </row>
    <row r="20" spans="1:1" x14ac:dyDescent="0.25">
      <c r="A20" s="24" t="s">
        <v>1318</v>
      </c>
    </row>
    <row r="21" spans="1:1" x14ac:dyDescent="0.25">
      <c r="A21" s="36" t="s">
        <v>1499</v>
      </c>
    </row>
    <row r="22" spans="1:1" x14ac:dyDescent="0.25">
      <c r="A22" s="24" t="s">
        <v>1439</v>
      </c>
    </row>
    <row r="23" spans="1:1" x14ac:dyDescent="0.25">
      <c r="A23" s="36" t="s">
        <v>1490</v>
      </c>
    </row>
    <row r="24" spans="1:1" x14ac:dyDescent="0.25">
      <c r="A24" s="24" t="s">
        <v>1450</v>
      </c>
    </row>
    <row r="25" spans="1:1" x14ac:dyDescent="0.25">
      <c r="A25" s="36" t="s">
        <v>1504</v>
      </c>
    </row>
    <row r="26" spans="1:1" x14ac:dyDescent="0.25">
      <c r="A26" s="24" t="s">
        <v>1213</v>
      </c>
    </row>
    <row r="27" spans="1:1" x14ac:dyDescent="0.25">
      <c r="A27" s="36" t="s">
        <v>273</v>
      </c>
    </row>
    <row r="28" spans="1:1" x14ac:dyDescent="0.25">
      <c r="A28" s="24" t="s">
        <v>1293</v>
      </c>
    </row>
    <row r="29" spans="1:1" x14ac:dyDescent="0.25">
      <c r="A29" s="36" t="s">
        <v>1465</v>
      </c>
    </row>
    <row r="30" spans="1:1" x14ac:dyDescent="0.25">
      <c r="A30" s="24" t="s">
        <v>1351</v>
      </c>
    </row>
    <row r="31" spans="1:1" x14ac:dyDescent="0.25">
      <c r="A31" s="36" t="s">
        <v>1466</v>
      </c>
    </row>
    <row r="32" spans="1:1" x14ac:dyDescent="0.25">
      <c r="A32" s="24" t="s">
        <v>1401</v>
      </c>
    </row>
    <row r="33" spans="1:1" x14ac:dyDescent="0.25">
      <c r="A33" s="36" t="s">
        <v>1511</v>
      </c>
    </row>
    <row r="34" spans="1:1" x14ac:dyDescent="0.25">
      <c r="A34" s="24" t="s">
        <v>1402</v>
      </c>
    </row>
    <row r="35" spans="1:1" x14ac:dyDescent="0.25">
      <c r="A35" s="36" t="s">
        <v>259</v>
      </c>
    </row>
    <row r="36" spans="1:1" x14ac:dyDescent="0.25">
      <c r="A36" s="24" t="s">
        <v>1294</v>
      </c>
    </row>
    <row r="37" spans="1:1" x14ac:dyDescent="0.25">
      <c r="A37" s="36" t="s">
        <v>1473</v>
      </c>
    </row>
    <row r="38" spans="1:1" x14ac:dyDescent="0.25">
      <c r="A38" s="24" t="s">
        <v>1365</v>
      </c>
    </row>
    <row r="39" spans="1:1" x14ac:dyDescent="0.25">
      <c r="A39" s="36" t="s">
        <v>1479</v>
      </c>
    </row>
    <row r="40" spans="1:1" x14ac:dyDescent="0.25">
      <c r="A40" s="24" t="s">
        <v>1246</v>
      </c>
    </row>
    <row r="41" spans="1:1" x14ac:dyDescent="0.25">
      <c r="A41" s="36" t="s">
        <v>1489</v>
      </c>
    </row>
    <row r="42" spans="1:1" x14ac:dyDescent="0.25">
      <c r="A42" s="24" t="s">
        <v>1295</v>
      </c>
    </row>
    <row r="43" spans="1:1" x14ac:dyDescent="0.25">
      <c r="A43" s="36" t="s">
        <v>1474</v>
      </c>
    </row>
    <row r="44" spans="1:1" x14ac:dyDescent="0.25">
      <c r="A44" s="24" t="s">
        <v>1413</v>
      </c>
    </row>
    <row r="45" spans="1:1" x14ac:dyDescent="0.25">
      <c r="A45" s="36" t="s">
        <v>1485</v>
      </c>
    </row>
    <row r="46" spans="1:1" x14ac:dyDescent="0.25">
      <c r="A46" s="24" t="s">
        <v>220</v>
      </c>
    </row>
    <row r="47" spans="1:1" x14ac:dyDescent="0.25">
      <c r="A47" s="36" t="s">
        <v>1521</v>
      </c>
    </row>
    <row r="48" spans="1:1" x14ac:dyDescent="0.25">
      <c r="A48" s="36" t="s">
        <v>251</v>
      </c>
    </row>
    <row r="49" spans="1:1" x14ac:dyDescent="0.25">
      <c r="A49" s="24" t="s">
        <v>1412</v>
      </c>
    </row>
    <row r="50" spans="1:1" x14ac:dyDescent="0.25">
      <c r="A50" s="36" t="s">
        <v>280</v>
      </c>
    </row>
    <row r="51" spans="1:1" x14ac:dyDescent="0.25">
      <c r="A51" s="24" t="s">
        <v>1353</v>
      </c>
    </row>
    <row r="52" spans="1:1" x14ac:dyDescent="0.25">
      <c r="A52" s="36" t="s">
        <v>1468</v>
      </c>
    </row>
    <row r="53" spans="1:1" x14ac:dyDescent="0.25">
      <c r="A53" s="24" t="s">
        <v>1291</v>
      </c>
    </row>
    <row r="54" spans="1:1" x14ac:dyDescent="0.25">
      <c r="A54" s="36" t="s">
        <v>1464</v>
      </c>
    </row>
    <row r="55" spans="1:1" x14ac:dyDescent="0.25">
      <c r="A55" s="24" t="s">
        <v>1254</v>
      </c>
    </row>
    <row r="56" spans="1:1" x14ac:dyDescent="0.25">
      <c r="A56" s="36" t="s">
        <v>1497</v>
      </c>
    </row>
    <row r="57" spans="1:1" x14ac:dyDescent="0.25">
      <c r="A57" s="24" t="s">
        <v>1208</v>
      </c>
    </row>
    <row r="58" spans="1:1" x14ac:dyDescent="0.25">
      <c r="A58" s="36" t="s">
        <v>268</v>
      </c>
    </row>
    <row r="59" spans="1:1" x14ac:dyDescent="0.25">
      <c r="A59" s="24" t="s">
        <v>1321</v>
      </c>
    </row>
    <row r="60" spans="1:1" x14ac:dyDescent="0.25">
      <c r="A60" s="36" t="s">
        <v>1496</v>
      </c>
    </row>
    <row r="61" spans="1:1" x14ac:dyDescent="0.25">
      <c r="A61" s="24" t="s">
        <v>1323</v>
      </c>
    </row>
    <row r="62" spans="1:1" x14ac:dyDescent="0.25">
      <c r="A62" s="36" t="s">
        <v>1495</v>
      </c>
    </row>
    <row r="63" spans="1:1" x14ac:dyDescent="0.25">
      <c r="A63" s="24" t="s">
        <v>1322</v>
      </c>
    </row>
    <row r="64" spans="1:1" x14ac:dyDescent="0.25">
      <c r="A64" s="36" t="s">
        <v>1507</v>
      </c>
    </row>
    <row r="65" spans="1:1" x14ac:dyDescent="0.25">
      <c r="A65" s="24" t="s">
        <v>1268</v>
      </c>
    </row>
    <row r="66" spans="1:1" x14ac:dyDescent="0.25">
      <c r="A66" s="36" t="s">
        <v>1509</v>
      </c>
    </row>
    <row r="67" spans="1:1" x14ac:dyDescent="0.25">
      <c r="A67" s="24" t="s">
        <v>1257</v>
      </c>
    </row>
    <row r="68" spans="1:1" x14ac:dyDescent="0.25">
      <c r="A68" s="36" t="s">
        <v>1500</v>
      </c>
    </row>
    <row r="69" spans="1:1" x14ac:dyDescent="0.25">
      <c r="A69" s="24" t="s">
        <v>1258</v>
      </c>
    </row>
    <row r="70" spans="1:1" x14ac:dyDescent="0.25">
      <c r="A70" s="36" t="s">
        <v>1501</v>
      </c>
    </row>
    <row r="71" spans="1:1" x14ac:dyDescent="0.25">
      <c r="A71" s="24" t="s">
        <v>1312</v>
      </c>
    </row>
    <row r="72" spans="1:1" x14ac:dyDescent="0.25">
      <c r="A72" s="36" t="s">
        <v>1462</v>
      </c>
    </row>
    <row r="73" spans="1:1" x14ac:dyDescent="0.25">
      <c r="A73" s="24" t="s">
        <v>1210</v>
      </c>
    </row>
    <row r="74" spans="1:1" x14ac:dyDescent="0.25">
      <c r="A74" s="36" t="s">
        <v>270</v>
      </c>
    </row>
    <row r="75" spans="1:1" x14ac:dyDescent="0.25">
      <c r="A75" s="24" t="s">
        <v>1406</v>
      </c>
    </row>
    <row r="76" spans="1:1" x14ac:dyDescent="0.25">
      <c r="A76" s="36" t="s">
        <v>1515</v>
      </c>
    </row>
    <row r="77" spans="1:1" x14ac:dyDescent="0.25">
      <c r="A77" s="24" t="s">
        <v>1222</v>
      </c>
    </row>
    <row r="78" spans="1:1" x14ac:dyDescent="0.25">
      <c r="A78" s="36" t="s">
        <v>1467</v>
      </c>
    </row>
    <row r="79" spans="1:1" x14ac:dyDescent="0.25">
      <c r="A79" s="24" t="s">
        <v>1334</v>
      </c>
    </row>
    <row r="80" spans="1:1" x14ac:dyDescent="0.25">
      <c r="A80" s="36" t="s">
        <v>269</v>
      </c>
    </row>
    <row r="81" spans="1:1" x14ac:dyDescent="0.25">
      <c r="A81" s="24" t="s">
        <v>235</v>
      </c>
    </row>
    <row r="82" spans="1:1" x14ac:dyDescent="0.25">
      <c r="A82" s="36" t="s">
        <v>266</v>
      </c>
    </row>
    <row r="83" spans="1:1" x14ac:dyDescent="0.25">
      <c r="A83" s="36" t="s">
        <v>267</v>
      </c>
    </row>
    <row r="84" spans="1:1" x14ac:dyDescent="0.25">
      <c r="A84" s="24" t="s">
        <v>1290</v>
      </c>
    </row>
    <row r="85" spans="1:1" x14ac:dyDescent="0.25">
      <c r="A85" s="36" t="s">
        <v>1479</v>
      </c>
    </row>
    <row r="86" spans="1:1" x14ac:dyDescent="0.25">
      <c r="A86" s="24" t="s">
        <v>229</v>
      </c>
    </row>
    <row r="87" spans="1:1" x14ac:dyDescent="0.25">
      <c r="A87" s="36" t="s">
        <v>260</v>
      </c>
    </row>
    <row r="88" spans="1:1" x14ac:dyDescent="0.25">
      <c r="A88" s="24" t="s">
        <v>1309</v>
      </c>
    </row>
    <row r="89" spans="1:1" x14ac:dyDescent="0.25">
      <c r="A89" s="36" t="s">
        <v>1501</v>
      </c>
    </row>
    <row r="90" spans="1:1" x14ac:dyDescent="0.25">
      <c r="A90" s="24" t="s">
        <v>1449</v>
      </c>
    </row>
    <row r="91" spans="1:1" x14ac:dyDescent="0.25">
      <c r="A91" s="36" t="s">
        <v>1505</v>
      </c>
    </row>
    <row r="92" spans="1:1" x14ac:dyDescent="0.25">
      <c r="A92" s="24" t="s">
        <v>1335</v>
      </c>
    </row>
    <row r="93" spans="1:1" x14ac:dyDescent="0.25">
      <c r="A93" s="36" t="s">
        <v>267</v>
      </c>
    </row>
    <row r="94" spans="1:1" x14ac:dyDescent="0.25">
      <c r="A94" s="24" t="s">
        <v>1224</v>
      </c>
    </row>
    <row r="95" spans="1:1" x14ac:dyDescent="0.25">
      <c r="A95" s="36" t="s">
        <v>1469</v>
      </c>
    </row>
    <row r="96" spans="1:1" x14ac:dyDescent="0.25">
      <c r="A96" s="24" t="s">
        <v>1316</v>
      </c>
    </row>
    <row r="97" spans="1:1" x14ac:dyDescent="0.25">
      <c r="A97" s="36" t="s">
        <v>269</v>
      </c>
    </row>
    <row r="98" spans="1:1" x14ac:dyDescent="0.25">
      <c r="A98" s="24" t="s">
        <v>1451</v>
      </c>
    </row>
    <row r="99" spans="1:1" x14ac:dyDescent="0.25">
      <c r="A99" s="36" t="s">
        <v>269</v>
      </c>
    </row>
    <row r="100" spans="1:1" x14ac:dyDescent="0.25">
      <c r="A100" s="24" t="s">
        <v>214</v>
      </c>
    </row>
    <row r="101" spans="1:1" x14ac:dyDescent="0.25">
      <c r="A101" s="36" t="s">
        <v>1459</v>
      </c>
    </row>
    <row r="102" spans="1:1" x14ac:dyDescent="0.25">
      <c r="A102" s="36" t="s">
        <v>245</v>
      </c>
    </row>
    <row r="103" spans="1:1" x14ac:dyDescent="0.25">
      <c r="A103" s="24" t="s">
        <v>1381</v>
      </c>
    </row>
    <row r="104" spans="1:1" x14ac:dyDescent="0.25">
      <c r="A104" s="36" t="s">
        <v>1493</v>
      </c>
    </row>
    <row r="105" spans="1:1" x14ac:dyDescent="0.25">
      <c r="A105" s="24" t="s">
        <v>1361</v>
      </c>
    </row>
    <row r="106" spans="1:1" x14ac:dyDescent="0.25">
      <c r="A106" s="36" t="s">
        <v>291</v>
      </c>
    </row>
    <row r="107" spans="1:1" x14ac:dyDescent="0.25">
      <c r="A107" s="24" t="s">
        <v>1317</v>
      </c>
    </row>
    <row r="108" spans="1:1" x14ac:dyDescent="0.25">
      <c r="A108" s="36" t="s">
        <v>1509</v>
      </c>
    </row>
    <row r="109" spans="1:1" x14ac:dyDescent="0.25">
      <c r="A109" s="24" t="s">
        <v>1359</v>
      </c>
    </row>
    <row r="110" spans="1:1" x14ac:dyDescent="0.25">
      <c r="A110" s="36" t="s">
        <v>1475</v>
      </c>
    </row>
    <row r="111" spans="1:1" x14ac:dyDescent="0.25">
      <c r="A111" s="24" t="s">
        <v>1363</v>
      </c>
    </row>
    <row r="112" spans="1:1" x14ac:dyDescent="0.25">
      <c r="A112" s="36" t="s">
        <v>1478</v>
      </c>
    </row>
    <row r="113" spans="1:1" x14ac:dyDescent="0.25">
      <c r="A113" s="24" t="s">
        <v>1429</v>
      </c>
    </row>
    <row r="114" spans="1:1" x14ac:dyDescent="0.25">
      <c r="A114" s="36" t="s">
        <v>271</v>
      </c>
    </row>
    <row r="115" spans="1:1" x14ac:dyDescent="0.25">
      <c r="A115" s="24" t="s">
        <v>1398</v>
      </c>
    </row>
    <row r="116" spans="1:1" x14ac:dyDescent="0.25">
      <c r="A116" s="36" t="s">
        <v>1508</v>
      </c>
    </row>
    <row r="117" spans="1:1" x14ac:dyDescent="0.25">
      <c r="A117" s="24" t="s">
        <v>1260</v>
      </c>
    </row>
    <row r="118" spans="1:1" x14ac:dyDescent="0.25">
      <c r="A118" s="36" t="s">
        <v>1502</v>
      </c>
    </row>
    <row r="119" spans="1:1" x14ac:dyDescent="0.25">
      <c r="A119" s="24" t="s">
        <v>1315</v>
      </c>
    </row>
    <row r="120" spans="1:1" x14ac:dyDescent="0.25">
      <c r="A120" s="36" t="s">
        <v>1504</v>
      </c>
    </row>
    <row r="121" spans="1:1" x14ac:dyDescent="0.25">
      <c r="A121" s="24" t="s">
        <v>1217</v>
      </c>
    </row>
    <row r="122" spans="1:1" x14ac:dyDescent="0.25">
      <c r="A122" s="36" t="s">
        <v>1461</v>
      </c>
    </row>
    <row r="123" spans="1:1" x14ac:dyDescent="0.25">
      <c r="A123" s="24" t="s">
        <v>1320</v>
      </c>
    </row>
    <row r="124" spans="1:1" x14ac:dyDescent="0.25">
      <c r="A124" s="36" t="s">
        <v>1492</v>
      </c>
    </row>
    <row r="125" spans="1:1" x14ac:dyDescent="0.25">
      <c r="A125" s="24" t="s">
        <v>1354</v>
      </c>
    </row>
    <row r="126" spans="1:1" x14ac:dyDescent="0.25">
      <c r="A126" s="36" t="s">
        <v>1469</v>
      </c>
    </row>
    <row r="127" spans="1:1" x14ac:dyDescent="0.25">
      <c r="A127" s="24" t="s">
        <v>1400</v>
      </c>
    </row>
    <row r="128" spans="1:1" x14ac:dyDescent="0.25">
      <c r="A128" s="36" t="s">
        <v>1510</v>
      </c>
    </row>
    <row r="129" spans="1:1" x14ac:dyDescent="0.25">
      <c r="A129" s="24" t="s">
        <v>1399</v>
      </c>
    </row>
    <row r="130" spans="1:1" x14ac:dyDescent="0.25">
      <c r="A130" s="36" t="s">
        <v>1509</v>
      </c>
    </row>
    <row r="131" spans="1:1" x14ac:dyDescent="0.25">
      <c r="A131" s="24" t="s">
        <v>219</v>
      </c>
    </row>
    <row r="132" spans="1:1" x14ac:dyDescent="0.25">
      <c r="A132" s="36" t="s">
        <v>250</v>
      </c>
    </row>
    <row r="133" spans="1:1" x14ac:dyDescent="0.25">
      <c r="A133" s="36" t="s">
        <v>1483</v>
      </c>
    </row>
    <row r="134" spans="1:1" x14ac:dyDescent="0.25">
      <c r="A134" s="24" t="s">
        <v>1445</v>
      </c>
    </row>
    <row r="135" spans="1:1" x14ac:dyDescent="0.25">
      <c r="A135" s="36" t="s">
        <v>278</v>
      </c>
    </row>
    <row r="136" spans="1:1" x14ac:dyDescent="0.25">
      <c r="A136" s="24" t="s">
        <v>1441</v>
      </c>
    </row>
    <row r="137" spans="1:1" x14ac:dyDescent="0.25">
      <c r="A137" s="36" t="s">
        <v>1467</v>
      </c>
    </row>
    <row r="138" spans="1:1" x14ac:dyDescent="0.25">
      <c r="A138" s="24" t="s">
        <v>1453</v>
      </c>
    </row>
    <row r="139" spans="1:1" x14ac:dyDescent="0.25">
      <c r="A139" s="36" t="s">
        <v>1499</v>
      </c>
    </row>
    <row r="140" spans="1:1" x14ac:dyDescent="0.25">
      <c r="A140" s="24" t="s">
        <v>1447</v>
      </c>
    </row>
    <row r="141" spans="1:1" x14ac:dyDescent="0.25">
      <c r="A141" s="36" t="s">
        <v>1462</v>
      </c>
    </row>
    <row r="142" spans="1:1" x14ac:dyDescent="0.25">
      <c r="A142" s="24" t="s">
        <v>1435</v>
      </c>
    </row>
    <row r="143" spans="1:1" x14ac:dyDescent="0.25">
      <c r="A143" s="36" t="s">
        <v>1484</v>
      </c>
    </row>
    <row r="144" spans="1:1" x14ac:dyDescent="0.25">
      <c r="A144" s="24" t="s">
        <v>1284</v>
      </c>
    </row>
    <row r="145" spans="1:1" x14ac:dyDescent="0.25">
      <c r="A145" s="36" t="s">
        <v>1469</v>
      </c>
    </row>
    <row r="146" spans="1:1" x14ac:dyDescent="0.25">
      <c r="A146" s="24" t="s">
        <v>1428</v>
      </c>
    </row>
    <row r="147" spans="1:1" x14ac:dyDescent="0.25">
      <c r="A147" s="36" t="s">
        <v>1474</v>
      </c>
    </row>
    <row r="148" spans="1:1" x14ac:dyDescent="0.25">
      <c r="A148" s="24" t="s">
        <v>1437</v>
      </c>
    </row>
    <row r="149" spans="1:1" x14ac:dyDescent="0.25">
      <c r="A149" s="36" t="s">
        <v>259</v>
      </c>
    </row>
    <row r="150" spans="1:1" x14ac:dyDescent="0.25">
      <c r="A150" s="24" t="s">
        <v>1432</v>
      </c>
    </row>
    <row r="151" spans="1:1" x14ac:dyDescent="0.25">
      <c r="A151" s="36" t="s">
        <v>1486</v>
      </c>
    </row>
    <row r="152" spans="1:1" x14ac:dyDescent="0.25">
      <c r="A152" s="24" t="s">
        <v>1431</v>
      </c>
    </row>
    <row r="153" spans="1:1" x14ac:dyDescent="0.25">
      <c r="A153" s="36" t="s">
        <v>1488</v>
      </c>
    </row>
    <row r="154" spans="1:1" x14ac:dyDescent="0.25">
      <c r="A154" s="24" t="s">
        <v>1364</v>
      </c>
    </row>
    <row r="155" spans="1:1" x14ac:dyDescent="0.25">
      <c r="A155" s="36" t="s">
        <v>272</v>
      </c>
    </row>
    <row r="156" spans="1:1" x14ac:dyDescent="0.25">
      <c r="A156" s="24" t="s">
        <v>1282</v>
      </c>
    </row>
    <row r="157" spans="1:1" x14ac:dyDescent="0.25">
      <c r="A157" s="36" t="s">
        <v>1485</v>
      </c>
    </row>
    <row r="158" spans="1:1" x14ac:dyDescent="0.25">
      <c r="A158" s="24" t="s">
        <v>20</v>
      </c>
    </row>
    <row r="159" spans="1:1" x14ac:dyDescent="0.25">
      <c r="A159" s="36" t="s">
        <v>1462</v>
      </c>
    </row>
    <row r="160" spans="1:1" x14ac:dyDescent="0.25">
      <c r="A160" s="24" t="s">
        <v>1233</v>
      </c>
    </row>
    <row r="161" spans="1:1" x14ac:dyDescent="0.25">
      <c r="A161" s="36" t="s">
        <v>1478</v>
      </c>
    </row>
    <row r="162" spans="1:1" x14ac:dyDescent="0.25">
      <c r="A162" s="24" t="s">
        <v>1248</v>
      </c>
    </row>
    <row r="163" spans="1:1" x14ac:dyDescent="0.25">
      <c r="A163" s="36" t="s">
        <v>247</v>
      </c>
    </row>
    <row r="164" spans="1:1" x14ac:dyDescent="0.25">
      <c r="A164" s="36" t="s">
        <v>1491</v>
      </c>
    </row>
    <row r="165" spans="1:1" x14ac:dyDescent="0.25">
      <c r="A165" s="24" t="s">
        <v>1256</v>
      </c>
    </row>
    <row r="166" spans="1:1" x14ac:dyDescent="0.25">
      <c r="A166" s="36" t="s">
        <v>1499</v>
      </c>
    </row>
    <row r="167" spans="1:1" x14ac:dyDescent="0.25">
      <c r="A167" s="24" t="s">
        <v>1274</v>
      </c>
    </row>
    <row r="168" spans="1:1" x14ac:dyDescent="0.25">
      <c r="A168" s="36" t="s">
        <v>1515</v>
      </c>
    </row>
    <row r="169" spans="1:1" x14ac:dyDescent="0.25">
      <c r="A169" s="24" t="s">
        <v>224</v>
      </c>
    </row>
    <row r="170" spans="1:1" x14ac:dyDescent="0.25">
      <c r="A170" s="36" t="s">
        <v>255</v>
      </c>
    </row>
    <row r="171" spans="1:1" x14ac:dyDescent="0.25">
      <c r="A171" s="36" t="s">
        <v>1506</v>
      </c>
    </row>
    <row r="172" spans="1:1" x14ac:dyDescent="0.25">
      <c r="A172" s="24" t="s">
        <v>1388</v>
      </c>
    </row>
    <row r="173" spans="1:1" x14ac:dyDescent="0.25">
      <c r="A173" s="36" t="s">
        <v>1500</v>
      </c>
    </row>
    <row r="174" spans="1:1" x14ac:dyDescent="0.25">
      <c r="A174" s="24" t="s">
        <v>1266</v>
      </c>
    </row>
    <row r="175" spans="1:1" x14ac:dyDescent="0.25">
      <c r="A175" s="36" t="s">
        <v>1507</v>
      </c>
    </row>
    <row r="176" spans="1:1" x14ac:dyDescent="0.25">
      <c r="A176" s="24" t="s">
        <v>1218</v>
      </c>
    </row>
    <row r="177" spans="1:1" x14ac:dyDescent="0.25">
      <c r="A177" s="36" t="s">
        <v>253</v>
      </c>
    </row>
    <row r="178" spans="1:1" x14ac:dyDescent="0.25">
      <c r="A178" s="24" t="s">
        <v>1407</v>
      </c>
    </row>
    <row r="179" spans="1:1" x14ac:dyDescent="0.25">
      <c r="A179" s="36" t="s">
        <v>1516</v>
      </c>
    </row>
    <row r="180" spans="1:1" x14ac:dyDescent="0.25">
      <c r="A180" s="24" t="s">
        <v>1220</v>
      </c>
    </row>
    <row r="181" spans="1:1" x14ac:dyDescent="0.25">
      <c r="A181" s="36" t="s">
        <v>1466</v>
      </c>
    </row>
    <row r="182" spans="1:1" x14ac:dyDescent="0.25">
      <c r="A182" s="24" t="s">
        <v>1219</v>
      </c>
    </row>
    <row r="183" spans="1:1" x14ac:dyDescent="0.25">
      <c r="A183" s="36" t="s">
        <v>1464</v>
      </c>
    </row>
    <row r="184" spans="1:1" x14ac:dyDescent="0.25">
      <c r="A184" s="24" t="s">
        <v>1343</v>
      </c>
    </row>
    <row r="185" spans="1:1" x14ac:dyDescent="0.25">
      <c r="A185" s="36" t="s">
        <v>259</v>
      </c>
    </row>
    <row r="186" spans="1:1" x14ac:dyDescent="0.25">
      <c r="A186" s="24" t="s">
        <v>1338</v>
      </c>
    </row>
    <row r="187" spans="1:1" x14ac:dyDescent="0.25">
      <c r="A187" s="36" t="s">
        <v>270</v>
      </c>
    </row>
    <row r="188" spans="1:1" x14ac:dyDescent="0.25">
      <c r="A188" s="24" t="s">
        <v>233</v>
      </c>
    </row>
    <row r="189" spans="1:1" x14ac:dyDescent="0.25">
      <c r="A189" s="36" t="s">
        <v>247</v>
      </c>
    </row>
    <row r="190" spans="1:1" x14ac:dyDescent="0.25">
      <c r="A190" s="36" t="s">
        <v>264</v>
      </c>
    </row>
    <row r="191" spans="1:1" x14ac:dyDescent="0.25">
      <c r="A191" s="24" t="s">
        <v>1339</v>
      </c>
    </row>
    <row r="192" spans="1:1" x14ac:dyDescent="0.25">
      <c r="A192" s="36" t="s">
        <v>260</v>
      </c>
    </row>
    <row r="193" spans="1:1" x14ac:dyDescent="0.25">
      <c r="A193" s="24" t="s">
        <v>1301</v>
      </c>
    </row>
    <row r="194" spans="1:1" x14ac:dyDescent="0.25">
      <c r="A194" s="36" t="s">
        <v>1484</v>
      </c>
    </row>
    <row r="195" spans="1:1" x14ac:dyDescent="0.25">
      <c r="A195" s="24" t="s">
        <v>1298</v>
      </c>
    </row>
    <row r="196" spans="1:1" x14ac:dyDescent="0.25">
      <c r="A196" s="36" t="s">
        <v>1488</v>
      </c>
    </row>
    <row r="197" spans="1:1" x14ac:dyDescent="0.25">
      <c r="A197" s="24" t="s">
        <v>1342</v>
      </c>
    </row>
    <row r="198" spans="1:1" x14ac:dyDescent="0.25">
      <c r="A198" s="36" t="s">
        <v>248</v>
      </c>
    </row>
    <row r="199" spans="1:1" x14ac:dyDescent="0.25">
      <c r="A199" s="24" t="s">
        <v>1231</v>
      </c>
    </row>
    <row r="200" spans="1:1" x14ac:dyDescent="0.25">
      <c r="A200" s="36" t="s">
        <v>291</v>
      </c>
    </row>
    <row r="201" spans="1:1" x14ac:dyDescent="0.25">
      <c r="A201" s="24" t="s">
        <v>1207</v>
      </c>
    </row>
    <row r="202" spans="1:1" x14ac:dyDescent="0.25">
      <c r="A202" s="36" t="s">
        <v>267</v>
      </c>
    </row>
    <row r="203" spans="1:1" x14ac:dyDescent="0.25">
      <c r="A203" s="24" t="s">
        <v>1223</v>
      </c>
    </row>
    <row r="204" spans="1:1" x14ac:dyDescent="0.25">
      <c r="A204" s="36" t="s">
        <v>1468</v>
      </c>
    </row>
    <row r="205" spans="1:1" x14ac:dyDescent="0.25">
      <c r="A205" s="24" t="s">
        <v>1232</v>
      </c>
    </row>
    <row r="206" spans="1:1" x14ac:dyDescent="0.25">
      <c r="A206" s="36" t="s">
        <v>1477</v>
      </c>
    </row>
    <row r="207" spans="1:1" x14ac:dyDescent="0.25">
      <c r="A207" s="24" t="s">
        <v>1236</v>
      </c>
    </row>
    <row r="208" spans="1:1" x14ac:dyDescent="0.25">
      <c r="A208" s="36" t="s">
        <v>1480</v>
      </c>
    </row>
    <row r="209" spans="1:1" x14ac:dyDescent="0.25">
      <c r="A209" s="24" t="s">
        <v>1215</v>
      </c>
    </row>
    <row r="210" spans="1:1" x14ac:dyDescent="0.25">
      <c r="A210" s="36" t="s">
        <v>259</v>
      </c>
    </row>
    <row r="211" spans="1:1" x14ac:dyDescent="0.25">
      <c r="A211" s="24" t="s">
        <v>1341</v>
      </c>
    </row>
    <row r="212" spans="1:1" x14ac:dyDescent="0.25">
      <c r="A212" s="36" t="s">
        <v>273</v>
      </c>
    </row>
    <row r="213" spans="1:1" x14ac:dyDescent="0.25">
      <c r="A213" s="24" t="s">
        <v>1269</v>
      </c>
    </row>
    <row r="214" spans="1:1" x14ac:dyDescent="0.25">
      <c r="A214" s="36" t="s">
        <v>1510</v>
      </c>
    </row>
    <row r="215" spans="1:1" x14ac:dyDescent="0.25">
      <c r="A215" s="24" t="s">
        <v>1325</v>
      </c>
    </row>
    <row r="216" spans="1:1" x14ac:dyDescent="0.25">
      <c r="A216" s="36" t="s">
        <v>1522</v>
      </c>
    </row>
    <row r="217" spans="1:1" x14ac:dyDescent="0.25">
      <c r="A217" s="24" t="s">
        <v>234</v>
      </c>
    </row>
    <row r="218" spans="1:1" x14ac:dyDescent="0.25">
      <c r="A218" s="36" t="s">
        <v>265</v>
      </c>
    </row>
    <row r="219" spans="1:1" x14ac:dyDescent="0.25">
      <c r="A219" s="36" t="s">
        <v>1502</v>
      </c>
    </row>
    <row r="220" spans="1:1" x14ac:dyDescent="0.25">
      <c r="A220" s="24" t="s">
        <v>1434</v>
      </c>
    </row>
    <row r="221" spans="1:1" x14ac:dyDescent="0.25">
      <c r="A221" s="36" t="s">
        <v>1461</v>
      </c>
    </row>
    <row r="222" spans="1:1" x14ac:dyDescent="0.25">
      <c r="A222" s="24" t="s">
        <v>1433</v>
      </c>
    </row>
    <row r="223" spans="1:1" x14ac:dyDescent="0.25">
      <c r="A223" s="36" t="s">
        <v>1483</v>
      </c>
    </row>
    <row r="224" spans="1:1" x14ac:dyDescent="0.25">
      <c r="A224" s="24" t="s">
        <v>1444</v>
      </c>
    </row>
    <row r="225" spans="1:1" x14ac:dyDescent="0.25">
      <c r="A225" s="36" t="s">
        <v>1478</v>
      </c>
    </row>
    <row r="226" spans="1:1" x14ac:dyDescent="0.25">
      <c r="A226" s="24" t="s">
        <v>1259</v>
      </c>
    </row>
    <row r="227" spans="1:1" x14ac:dyDescent="0.25">
      <c r="A227" s="36" t="s">
        <v>273</v>
      </c>
    </row>
    <row r="228" spans="1:1" x14ac:dyDescent="0.25">
      <c r="A228" s="24" t="s">
        <v>238</v>
      </c>
    </row>
    <row r="229" spans="1:1" x14ac:dyDescent="0.25">
      <c r="A229" s="36" t="s">
        <v>269</v>
      </c>
    </row>
    <row r="230" spans="1:1" x14ac:dyDescent="0.25">
      <c r="A230" s="24" t="s">
        <v>1397</v>
      </c>
    </row>
    <row r="231" spans="1:1" x14ac:dyDescent="0.25">
      <c r="A231" s="36" t="s">
        <v>1507</v>
      </c>
    </row>
    <row r="232" spans="1:1" x14ac:dyDescent="0.25">
      <c r="A232" s="24" t="s">
        <v>1395</v>
      </c>
    </row>
    <row r="233" spans="1:1" x14ac:dyDescent="0.25">
      <c r="A233" s="36" t="s">
        <v>1505</v>
      </c>
    </row>
    <row r="234" spans="1:1" x14ac:dyDescent="0.25">
      <c r="A234" s="24" t="s">
        <v>1396</v>
      </c>
    </row>
    <row r="235" spans="1:1" x14ac:dyDescent="0.25">
      <c r="A235" s="36" t="s">
        <v>1506</v>
      </c>
    </row>
    <row r="236" spans="1:1" x14ac:dyDescent="0.25">
      <c r="A236" s="24" t="s">
        <v>218</v>
      </c>
    </row>
    <row r="237" spans="1:1" x14ac:dyDescent="0.25">
      <c r="A237" s="36" t="s">
        <v>249</v>
      </c>
    </row>
    <row r="238" spans="1:1" x14ac:dyDescent="0.25">
      <c r="A238" s="24" t="s">
        <v>1288</v>
      </c>
    </row>
    <row r="239" spans="1:1" x14ac:dyDescent="0.25">
      <c r="A239" s="36" t="s">
        <v>1493</v>
      </c>
    </row>
    <row r="240" spans="1:1" x14ac:dyDescent="0.25">
      <c r="A240" s="24" t="s">
        <v>1452</v>
      </c>
    </row>
    <row r="241" spans="1:1" x14ac:dyDescent="0.25">
      <c r="A241" s="36" t="s">
        <v>1509</v>
      </c>
    </row>
    <row r="242" spans="1:1" x14ac:dyDescent="0.25">
      <c r="A242" s="24" t="s">
        <v>1436</v>
      </c>
    </row>
    <row r="243" spans="1:1" x14ac:dyDescent="0.25">
      <c r="A243" s="36" t="s">
        <v>1487</v>
      </c>
    </row>
    <row r="244" spans="1:1" x14ac:dyDescent="0.25">
      <c r="A244" s="24" t="s">
        <v>1331</v>
      </c>
    </row>
    <row r="245" spans="1:1" x14ac:dyDescent="0.25">
      <c r="A245" s="36" t="s">
        <v>248</v>
      </c>
    </row>
    <row r="246" spans="1:1" x14ac:dyDescent="0.25">
      <c r="A246" s="24" t="s">
        <v>1330</v>
      </c>
    </row>
    <row r="247" spans="1:1" x14ac:dyDescent="0.25">
      <c r="A247" s="36" t="s">
        <v>247</v>
      </c>
    </row>
    <row r="248" spans="1:1" x14ac:dyDescent="0.25">
      <c r="A248" s="24" t="s">
        <v>1313</v>
      </c>
    </row>
    <row r="249" spans="1:1" x14ac:dyDescent="0.25">
      <c r="A249" s="36" t="s">
        <v>273</v>
      </c>
    </row>
    <row r="250" spans="1:1" x14ac:dyDescent="0.25">
      <c r="A250" s="24" t="s">
        <v>1442</v>
      </c>
    </row>
    <row r="251" spans="1:1" x14ac:dyDescent="0.25">
      <c r="A251" s="36" t="s">
        <v>272</v>
      </c>
    </row>
    <row r="252" spans="1:1" x14ac:dyDescent="0.25">
      <c r="A252" s="24" t="s">
        <v>216</v>
      </c>
    </row>
    <row r="253" spans="1:1" x14ac:dyDescent="0.25">
      <c r="A253" s="36" t="s">
        <v>247</v>
      </c>
    </row>
    <row r="254" spans="1:1" x14ac:dyDescent="0.25">
      <c r="A254" s="36" t="s">
        <v>1473</v>
      </c>
    </row>
    <row r="255" spans="1:1" x14ac:dyDescent="0.25">
      <c r="A255" s="24" t="s">
        <v>1385</v>
      </c>
    </row>
    <row r="256" spans="1:1" x14ac:dyDescent="0.25">
      <c r="A256" s="36" t="s">
        <v>1497</v>
      </c>
    </row>
    <row r="257" spans="1:1" x14ac:dyDescent="0.25">
      <c r="A257" s="24" t="s">
        <v>57</v>
      </c>
    </row>
    <row r="258" spans="1:1" x14ac:dyDescent="0.25">
      <c r="A258" s="36" t="s">
        <v>267</v>
      </c>
    </row>
    <row r="259" spans="1:1" x14ac:dyDescent="0.25">
      <c r="A259" s="36" t="s">
        <v>242</v>
      </c>
    </row>
    <row r="260" spans="1:1" x14ac:dyDescent="0.25">
      <c r="A260" s="24" t="s">
        <v>1380</v>
      </c>
    </row>
    <row r="261" spans="1:1" x14ac:dyDescent="0.25">
      <c r="A261" s="36" t="s">
        <v>1492</v>
      </c>
    </row>
    <row r="262" spans="1:1" x14ac:dyDescent="0.25">
      <c r="A262" s="24" t="s">
        <v>1239</v>
      </c>
    </row>
    <row r="263" spans="1:1" x14ac:dyDescent="0.25">
      <c r="A263" s="36" t="s">
        <v>1482</v>
      </c>
    </row>
    <row r="264" spans="1:1" x14ac:dyDescent="0.25">
      <c r="A264" s="24" t="s">
        <v>236</v>
      </c>
    </row>
    <row r="265" spans="1:1" x14ac:dyDescent="0.25">
      <c r="A265" s="36" t="s">
        <v>267</v>
      </c>
    </row>
    <row r="266" spans="1:1" x14ac:dyDescent="0.25">
      <c r="A266" s="24" t="s">
        <v>1238</v>
      </c>
    </row>
    <row r="267" spans="1:1" x14ac:dyDescent="0.25">
      <c r="A267" s="36" t="s">
        <v>278</v>
      </c>
    </row>
    <row r="268" spans="1:1" x14ac:dyDescent="0.25">
      <c r="A268" s="24" t="s">
        <v>1241</v>
      </c>
    </row>
    <row r="269" spans="1:1" x14ac:dyDescent="0.25">
      <c r="A269" s="36" t="s">
        <v>1484</v>
      </c>
    </row>
    <row r="270" spans="1:1" x14ac:dyDescent="0.25">
      <c r="A270" s="24" t="s">
        <v>1378</v>
      </c>
    </row>
    <row r="271" spans="1:1" x14ac:dyDescent="0.25">
      <c r="A271" s="36" t="s">
        <v>1490</v>
      </c>
    </row>
    <row r="272" spans="1:1" x14ac:dyDescent="0.25">
      <c r="A272" s="24" t="s">
        <v>1376</v>
      </c>
    </row>
    <row r="273" spans="1:1" x14ac:dyDescent="0.25">
      <c r="A273" s="36" t="s">
        <v>1488</v>
      </c>
    </row>
    <row r="274" spans="1:1" x14ac:dyDescent="0.25">
      <c r="A274" s="24" t="s">
        <v>1371</v>
      </c>
    </row>
    <row r="275" spans="1:1" x14ac:dyDescent="0.25">
      <c r="A275" s="36" t="s">
        <v>1483</v>
      </c>
    </row>
    <row r="276" spans="1:1" x14ac:dyDescent="0.25">
      <c r="A276" s="24" t="s">
        <v>1377</v>
      </c>
    </row>
    <row r="277" spans="1:1" x14ac:dyDescent="0.25">
      <c r="A277" s="36" t="s">
        <v>1489</v>
      </c>
    </row>
    <row r="278" spans="1:1" x14ac:dyDescent="0.25">
      <c r="A278" s="24" t="s">
        <v>1272</v>
      </c>
    </row>
    <row r="279" spans="1:1" x14ac:dyDescent="0.25">
      <c r="A279" s="36" t="s">
        <v>1513</v>
      </c>
    </row>
    <row r="280" spans="1:1" x14ac:dyDescent="0.25">
      <c r="A280" s="24" t="s">
        <v>1373</v>
      </c>
    </row>
    <row r="281" spans="1:1" x14ac:dyDescent="0.25">
      <c r="A281" s="36" t="s">
        <v>1485</v>
      </c>
    </row>
    <row r="282" spans="1:1" x14ac:dyDescent="0.25">
      <c r="A282" s="24" t="s">
        <v>1332</v>
      </c>
    </row>
    <row r="283" spans="1:1" x14ac:dyDescent="0.25">
      <c r="A283" s="36" t="s">
        <v>1482</v>
      </c>
    </row>
    <row r="284" spans="1:1" x14ac:dyDescent="0.25">
      <c r="A284" s="24" t="s">
        <v>1374</v>
      </c>
    </row>
    <row r="285" spans="1:1" x14ac:dyDescent="0.25">
      <c r="A285" s="36" t="s">
        <v>1486</v>
      </c>
    </row>
    <row r="286" spans="1:1" x14ac:dyDescent="0.25">
      <c r="A286" s="24" t="s">
        <v>1375</v>
      </c>
    </row>
    <row r="287" spans="1:1" x14ac:dyDescent="0.25">
      <c r="A287" s="36" t="s">
        <v>1487</v>
      </c>
    </row>
    <row r="288" spans="1:1" x14ac:dyDescent="0.25">
      <c r="A288" s="24" t="s">
        <v>1370</v>
      </c>
    </row>
    <row r="289" spans="1:1" x14ac:dyDescent="0.25">
      <c r="A289" s="36" t="s">
        <v>1482</v>
      </c>
    </row>
    <row r="290" spans="1:1" x14ac:dyDescent="0.25">
      <c r="A290" s="24" t="s">
        <v>1240</v>
      </c>
    </row>
    <row r="291" spans="1:1" x14ac:dyDescent="0.25">
      <c r="A291" s="36" t="s">
        <v>1483</v>
      </c>
    </row>
    <row r="292" spans="1:1" x14ac:dyDescent="0.25">
      <c r="A292" s="24" t="s">
        <v>1237</v>
      </c>
    </row>
    <row r="293" spans="1:1" x14ac:dyDescent="0.25">
      <c r="A293" s="36" t="s">
        <v>1481</v>
      </c>
    </row>
    <row r="294" spans="1:1" x14ac:dyDescent="0.25">
      <c r="A294" s="24" t="s">
        <v>1379</v>
      </c>
    </row>
    <row r="295" spans="1:1" x14ac:dyDescent="0.25">
      <c r="A295" s="36" t="s">
        <v>1491</v>
      </c>
    </row>
    <row r="296" spans="1:1" x14ac:dyDescent="0.25">
      <c r="A296" s="24" t="s">
        <v>1372</v>
      </c>
    </row>
    <row r="297" spans="1:1" x14ac:dyDescent="0.25">
      <c r="A297" s="36" t="s">
        <v>1484</v>
      </c>
    </row>
    <row r="298" spans="1:1" x14ac:dyDescent="0.25">
      <c r="A298" s="24" t="s">
        <v>1358</v>
      </c>
    </row>
    <row r="299" spans="1:1" x14ac:dyDescent="0.25">
      <c r="A299" s="36" t="s">
        <v>1474</v>
      </c>
    </row>
    <row r="300" spans="1:1" x14ac:dyDescent="0.25">
      <c r="A300" s="24" t="s">
        <v>1308</v>
      </c>
    </row>
    <row r="301" spans="1:1" x14ac:dyDescent="0.25">
      <c r="A301" s="36" t="s">
        <v>272</v>
      </c>
    </row>
    <row r="302" spans="1:1" x14ac:dyDescent="0.25">
      <c r="A302" s="24" t="s">
        <v>1278</v>
      </c>
    </row>
    <row r="303" spans="1:1" x14ac:dyDescent="0.25">
      <c r="A303" s="36" t="s">
        <v>1518</v>
      </c>
    </row>
    <row r="304" spans="1:1" x14ac:dyDescent="0.25">
      <c r="A304" s="24" t="s">
        <v>1281</v>
      </c>
    </row>
    <row r="305" spans="1:1" x14ac:dyDescent="0.25">
      <c r="A305" s="36" t="s">
        <v>280</v>
      </c>
    </row>
    <row r="306" spans="1:1" x14ac:dyDescent="0.25">
      <c r="A306" s="24" t="s">
        <v>1227</v>
      </c>
    </row>
    <row r="307" spans="1:1" x14ac:dyDescent="0.25">
      <c r="A307" s="36" t="s">
        <v>1472</v>
      </c>
    </row>
    <row r="308" spans="1:1" x14ac:dyDescent="0.25">
      <c r="A308" s="24" t="s">
        <v>1279</v>
      </c>
    </row>
    <row r="309" spans="1:1" x14ac:dyDescent="0.25">
      <c r="A309" s="36" t="s">
        <v>1519</v>
      </c>
    </row>
    <row r="310" spans="1:1" x14ac:dyDescent="0.25">
      <c r="A310" s="24" t="s">
        <v>1346</v>
      </c>
    </row>
    <row r="311" spans="1:1" x14ac:dyDescent="0.25">
      <c r="A311" s="36" t="s">
        <v>1462</v>
      </c>
    </row>
    <row r="312" spans="1:1" x14ac:dyDescent="0.25">
      <c r="A312" s="24" t="s">
        <v>1263</v>
      </c>
    </row>
    <row r="313" spans="1:1" x14ac:dyDescent="0.25">
      <c r="A313" s="36" t="s">
        <v>1504</v>
      </c>
    </row>
    <row r="314" spans="1:1" x14ac:dyDescent="0.25">
      <c r="A314" s="24" t="s">
        <v>1212</v>
      </c>
    </row>
    <row r="315" spans="1:1" x14ac:dyDescent="0.25">
      <c r="A315" s="36" t="s">
        <v>247</v>
      </c>
    </row>
    <row r="316" spans="1:1" x14ac:dyDescent="0.25">
      <c r="A316" s="24" t="s">
        <v>1228</v>
      </c>
    </row>
    <row r="317" spans="1:1" x14ac:dyDescent="0.25">
      <c r="A317" s="36" t="s">
        <v>1474</v>
      </c>
    </row>
    <row r="318" spans="1:1" x14ac:dyDescent="0.25">
      <c r="A318" s="24" t="s">
        <v>1326</v>
      </c>
    </row>
    <row r="319" spans="1:1" x14ac:dyDescent="0.25">
      <c r="A319" s="36" t="s">
        <v>1521</v>
      </c>
    </row>
    <row r="320" spans="1:1" x14ac:dyDescent="0.25">
      <c r="A320" s="24" t="s">
        <v>1251</v>
      </c>
    </row>
    <row r="321" spans="1:1" x14ac:dyDescent="0.25">
      <c r="A321" s="36" t="s">
        <v>1494</v>
      </c>
    </row>
    <row r="322" spans="1:1" x14ac:dyDescent="0.25">
      <c r="A322" s="24" t="s">
        <v>1264</v>
      </c>
    </row>
    <row r="323" spans="1:1" x14ac:dyDescent="0.25">
      <c r="A323" s="36" t="s">
        <v>1505</v>
      </c>
    </row>
    <row r="324" spans="1:1" x14ac:dyDescent="0.25">
      <c r="A324" s="24" t="s">
        <v>1305</v>
      </c>
    </row>
    <row r="325" spans="1:1" x14ac:dyDescent="0.25">
      <c r="A325" s="36" t="s">
        <v>1490</v>
      </c>
    </row>
    <row r="326" spans="1:1" x14ac:dyDescent="0.25">
      <c r="A326" s="24" t="s">
        <v>1328</v>
      </c>
    </row>
    <row r="327" spans="1:1" x14ac:dyDescent="0.25">
      <c r="A327" s="36" t="s">
        <v>1497</v>
      </c>
    </row>
    <row r="328" spans="1:1" x14ac:dyDescent="0.25">
      <c r="A328" s="24" t="s">
        <v>1438</v>
      </c>
    </row>
    <row r="329" spans="1:1" x14ac:dyDescent="0.25">
      <c r="A329" s="36" t="s">
        <v>260</v>
      </c>
    </row>
    <row r="330" spans="1:1" x14ac:dyDescent="0.25">
      <c r="A330" s="24" t="s">
        <v>1214</v>
      </c>
    </row>
    <row r="331" spans="1:1" x14ac:dyDescent="0.25">
      <c r="A331" s="36" t="s">
        <v>248</v>
      </c>
    </row>
    <row r="332" spans="1:1" x14ac:dyDescent="0.25">
      <c r="A332" s="24" t="s">
        <v>1355</v>
      </c>
    </row>
    <row r="333" spans="1:1" x14ac:dyDescent="0.25">
      <c r="A333" s="36" t="s">
        <v>1471</v>
      </c>
    </row>
    <row r="334" spans="1:1" x14ac:dyDescent="0.25">
      <c r="A334" s="24" t="s">
        <v>1319</v>
      </c>
    </row>
    <row r="335" spans="1:1" x14ac:dyDescent="0.25">
      <c r="A335" s="36" t="s">
        <v>1494</v>
      </c>
    </row>
    <row r="336" spans="1:1" x14ac:dyDescent="0.25">
      <c r="A336" s="24" t="s">
        <v>1443</v>
      </c>
    </row>
    <row r="337" spans="1:1" x14ac:dyDescent="0.25">
      <c r="A337" s="36" t="s">
        <v>1501</v>
      </c>
    </row>
    <row r="338" spans="1:1" x14ac:dyDescent="0.25">
      <c r="A338" s="24" t="s">
        <v>237</v>
      </c>
    </row>
    <row r="339" spans="1:1" x14ac:dyDescent="0.25">
      <c r="A339" s="36" t="s">
        <v>268</v>
      </c>
    </row>
    <row r="340" spans="1:1" x14ac:dyDescent="0.25">
      <c r="A340" s="24" t="s">
        <v>1255</v>
      </c>
    </row>
    <row r="341" spans="1:1" x14ac:dyDescent="0.25">
      <c r="A341" s="36" t="s">
        <v>1498</v>
      </c>
    </row>
    <row r="342" spans="1:1" x14ac:dyDescent="0.25">
      <c r="A342" s="24" t="s">
        <v>215</v>
      </c>
    </row>
    <row r="343" spans="1:1" x14ac:dyDescent="0.25">
      <c r="A343" s="36" t="s">
        <v>246</v>
      </c>
    </row>
    <row r="344" spans="1:1" x14ac:dyDescent="0.25">
      <c r="A344" s="24" t="s">
        <v>1383</v>
      </c>
    </row>
    <row r="345" spans="1:1" x14ac:dyDescent="0.25">
      <c r="A345" s="36" t="s">
        <v>1495</v>
      </c>
    </row>
    <row r="346" spans="1:1" x14ac:dyDescent="0.25">
      <c r="A346" s="24" t="s">
        <v>1382</v>
      </c>
    </row>
    <row r="347" spans="1:1" x14ac:dyDescent="0.25">
      <c r="A347" s="36" t="s">
        <v>1494</v>
      </c>
    </row>
    <row r="348" spans="1:1" x14ac:dyDescent="0.25">
      <c r="A348" s="24" t="s">
        <v>1384</v>
      </c>
    </row>
    <row r="349" spans="1:1" x14ac:dyDescent="0.25">
      <c r="A349" s="36" t="s">
        <v>1496</v>
      </c>
    </row>
    <row r="350" spans="1:1" x14ac:dyDescent="0.25">
      <c r="A350" s="24" t="s">
        <v>1333</v>
      </c>
    </row>
    <row r="351" spans="1:1" x14ac:dyDescent="0.25">
      <c r="A351" s="36" t="s">
        <v>270</v>
      </c>
    </row>
    <row r="352" spans="1:1" x14ac:dyDescent="0.25">
      <c r="A352" s="24" t="s">
        <v>217</v>
      </c>
    </row>
    <row r="353" spans="1:1" x14ac:dyDescent="0.25">
      <c r="A353" s="36" t="s">
        <v>248</v>
      </c>
    </row>
    <row r="354" spans="1:1" x14ac:dyDescent="0.25">
      <c r="A354" s="24" t="s">
        <v>1386</v>
      </c>
    </row>
    <row r="355" spans="1:1" x14ac:dyDescent="0.25">
      <c r="A355" s="36" t="s">
        <v>1498</v>
      </c>
    </row>
    <row r="356" spans="1:1" x14ac:dyDescent="0.25">
      <c r="A356" s="24" t="s">
        <v>1235</v>
      </c>
    </row>
    <row r="357" spans="1:1" x14ac:dyDescent="0.25">
      <c r="A357" s="36" t="s">
        <v>1479</v>
      </c>
    </row>
    <row r="358" spans="1:1" x14ac:dyDescent="0.25">
      <c r="A358" s="24" t="s">
        <v>1392</v>
      </c>
    </row>
    <row r="359" spans="1:1" x14ac:dyDescent="0.25">
      <c r="A359" s="36" t="s">
        <v>1503</v>
      </c>
    </row>
    <row r="360" spans="1:1" x14ac:dyDescent="0.25">
      <c r="A360" s="24" t="s">
        <v>1270</v>
      </c>
    </row>
    <row r="361" spans="1:1" x14ac:dyDescent="0.25">
      <c r="A361" s="36" t="s">
        <v>1511</v>
      </c>
    </row>
    <row r="362" spans="1:1" x14ac:dyDescent="0.25">
      <c r="A362" s="24" t="s">
        <v>1302</v>
      </c>
    </row>
    <row r="363" spans="1:1" x14ac:dyDescent="0.25">
      <c r="A363" s="36" t="s">
        <v>1487</v>
      </c>
    </row>
    <row r="364" spans="1:1" x14ac:dyDescent="0.25">
      <c r="A364" s="24" t="s">
        <v>1410</v>
      </c>
    </row>
    <row r="365" spans="1:1" x14ac:dyDescent="0.25">
      <c r="A365" s="36" t="s">
        <v>1519</v>
      </c>
    </row>
    <row r="366" spans="1:1" x14ac:dyDescent="0.25">
      <c r="A366" s="24" t="s">
        <v>1249</v>
      </c>
    </row>
    <row r="367" spans="1:1" x14ac:dyDescent="0.25">
      <c r="A367" s="36" t="s">
        <v>1492</v>
      </c>
    </row>
    <row r="368" spans="1:1" x14ac:dyDescent="0.25">
      <c r="A368" s="24" t="s">
        <v>1299</v>
      </c>
    </row>
    <row r="369" spans="1:1" x14ac:dyDescent="0.25">
      <c r="A369" s="36" t="s">
        <v>1486</v>
      </c>
    </row>
    <row r="370" spans="1:1" x14ac:dyDescent="0.25">
      <c r="A370" s="24" t="s">
        <v>1347</v>
      </c>
    </row>
    <row r="371" spans="1:1" x14ac:dyDescent="0.25">
      <c r="A371" s="36" t="s">
        <v>1463</v>
      </c>
    </row>
    <row r="372" spans="1:1" x14ac:dyDescent="0.25">
      <c r="A372" s="24" t="s">
        <v>1403</v>
      </c>
    </row>
    <row r="373" spans="1:1" x14ac:dyDescent="0.25">
      <c r="A373" s="36" t="s">
        <v>1512</v>
      </c>
    </row>
    <row r="374" spans="1:1" x14ac:dyDescent="0.25">
      <c r="A374" s="24" t="s">
        <v>1286</v>
      </c>
    </row>
    <row r="375" spans="1:1" x14ac:dyDescent="0.25">
      <c r="A375" s="36" t="s">
        <v>1472</v>
      </c>
    </row>
    <row r="376" spans="1:1" x14ac:dyDescent="0.25">
      <c r="A376" s="24" t="s">
        <v>1337</v>
      </c>
    </row>
    <row r="377" spans="1:1" x14ac:dyDescent="0.25">
      <c r="A377" s="36" t="s">
        <v>269</v>
      </c>
    </row>
    <row r="378" spans="1:1" x14ac:dyDescent="0.25">
      <c r="A378" s="24" t="s">
        <v>1408</v>
      </c>
    </row>
    <row r="379" spans="1:1" x14ac:dyDescent="0.25">
      <c r="A379" s="36" t="s">
        <v>1517</v>
      </c>
    </row>
    <row r="380" spans="1:1" x14ac:dyDescent="0.25">
      <c r="A380" s="24" t="s">
        <v>1409</v>
      </c>
    </row>
    <row r="381" spans="1:1" x14ac:dyDescent="0.25">
      <c r="A381" s="36" t="s">
        <v>1518</v>
      </c>
    </row>
    <row r="382" spans="1:1" x14ac:dyDescent="0.25">
      <c r="A382" s="24" t="s">
        <v>1344</v>
      </c>
    </row>
    <row r="383" spans="1:1" x14ac:dyDescent="0.25">
      <c r="A383" s="36" t="s">
        <v>254</v>
      </c>
    </row>
    <row r="384" spans="1:1" x14ac:dyDescent="0.25">
      <c r="A384" s="24" t="s">
        <v>1226</v>
      </c>
    </row>
    <row r="385" spans="1:1" x14ac:dyDescent="0.25">
      <c r="A385" s="36" t="s">
        <v>1471</v>
      </c>
    </row>
    <row r="386" spans="1:1" x14ac:dyDescent="0.25">
      <c r="A386" s="24" t="s">
        <v>1285</v>
      </c>
    </row>
    <row r="387" spans="1:1" x14ac:dyDescent="0.25">
      <c r="A387" s="36" t="s">
        <v>1475</v>
      </c>
    </row>
    <row r="388" spans="1:1" x14ac:dyDescent="0.25">
      <c r="A388" s="24" t="s">
        <v>1329</v>
      </c>
    </row>
    <row r="389" spans="1:1" x14ac:dyDescent="0.25">
      <c r="A389" s="36" t="s">
        <v>1511</v>
      </c>
    </row>
    <row r="390" spans="1:1" x14ac:dyDescent="0.25">
      <c r="A390" s="24" t="s">
        <v>222</v>
      </c>
    </row>
    <row r="391" spans="1:1" x14ac:dyDescent="0.25">
      <c r="A391" s="36" t="s">
        <v>259</v>
      </c>
    </row>
    <row r="392" spans="1:1" x14ac:dyDescent="0.25">
      <c r="A392" s="36" t="s">
        <v>253</v>
      </c>
    </row>
    <row r="393" spans="1:1" x14ac:dyDescent="0.25">
      <c r="A393" s="24" t="s">
        <v>1336</v>
      </c>
    </row>
    <row r="394" spans="1:1" x14ac:dyDescent="0.25">
      <c r="A394" s="36" t="s">
        <v>268</v>
      </c>
    </row>
    <row r="395" spans="1:1" x14ac:dyDescent="0.25">
      <c r="A395" s="24" t="s">
        <v>226</v>
      </c>
    </row>
    <row r="396" spans="1:1" x14ac:dyDescent="0.25">
      <c r="A396" s="36" t="s">
        <v>257</v>
      </c>
    </row>
    <row r="397" spans="1:1" x14ac:dyDescent="0.25">
      <c r="A397" s="24" t="s">
        <v>230</v>
      </c>
    </row>
    <row r="398" spans="1:1" x14ac:dyDescent="0.25">
      <c r="A398" s="36" t="s">
        <v>261</v>
      </c>
    </row>
    <row r="399" spans="1:1" x14ac:dyDescent="0.25">
      <c r="A399" s="36" t="s">
        <v>1470</v>
      </c>
    </row>
    <row r="400" spans="1:1" x14ac:dyDescent="0.25">
      <c r="A400" s="24" t="s">
        <v>1357</v>
      </c>
    </row>
    <row r="401" spans="1:1" x14ac:dyDescent="0.25">
      <c r="A401" s="36" t="s">
        <v>1473</v>
      </c>
    </row>
    <row r="402" spans="1:1" x14ac:dyDescent="0.25">
      <c r="A402" s="24" t="s">
        <v>1314</v>
      </c>
    </row>
    <row r="403" spans="1:1" x14ac:dyDescent="0.25">
      <c r="A403" s="36" t="s">
        <v>1505</v>
      </c>
    </row>
    <row r="404" spans="1:1" x14ac:dyDescent="0.25">
      <c r="A404" s="24" t="s">
        <v>1348</v>
      </c>
    </row>
    <row r="405" spans="1:1" x14ac:dyDescent="0.25">
      <c r="A405" s="36" t="s">
        <v>253</v>
      </c>
    </row>
    <row r="406" spans="1:1" x14ac:dyDescent="0.25">
      <c r="A406" s="24" t="s">
        <v>1404</v>
      </c>
    </row>
    <row r="407" spans="1:1" x14ac:dyDescent="0.25">
      <c r="A407" s="36" t="s">
        <v>1513</v>
      </c>
    </row>
    <row r="408" spans="1:1" x14ac:dyDescent="0.25">
      <c r="A408" s="24" t="s">
        <v>1427</v>
      </c>
    </row>
    <row r="409" spans="1:1" x14ac:dyDescent="0.25">
      <c r="A409" s="36" t="s">
        <v>1473</v>
      </c>
    </row>
    <row r="410" spans="1:1" x14ac:dyDescent="0.25">
      <c r="A410" s="24" t="s">
        <v>1283</v>
      </c>
    </row>
    <row r="411" spans="1:1" x14ac:dyDescent="0.25">
      <c r="A411" s="36" t="s">
        <v>1520</v>
      </c>
    </row>
    <row r="412" spans="1:1" x14ac:dyDescent="0.25">
      <c r="A412" s="24" t="s">
        <v>1448</v>
      </c>
    </row>
    <row r="413" spans="1:1" x14ac:dyDescent="0.25">
      <c r="A413" s="36" t="s">
        <v>273</v>
      </c>
    </row>
    <row r="414" spans="1:1" x14ac:dyDescent="0.25">
      <c r="A414" s="24" t="s">
        <v>1454</v>
      </c>
    </row>
    <row r="415" spans="1:1" x14ac:dyDescent="0.25">
      <c r="A415" s="36" t="s">
        <v>1494</v>
      </c>
    </row>
    <row r="416" spans="1:1" x14ac:dyDescent="0.25">
      <c r="A416" s="24" t="s">
        <v>1440</v>
      </c>
    </row>
    <row r="417" spans="1:1" x14ac:dyDescent="0.25">
      <c r="A417" s="36" t="s">
        <v>1498</v>
      </c>
    </row>
    <row r="418" spans="1:1" x14ac:dyDescent="0.25">
      <c r="A418" s="24" t="s">
        <v>1327</v>
      </c>
    </row>
    <row r="419" spans="1:1" x14ac:dyDescent="0.25">
      <c r="A419" s="36" t="s">
        <v>1470</v>
      </c>
    </row>
    <row r="420" spans="1:1" x14ac:dyDescent="0.25">
      <c r="A420" s="24" t="s">
        <v>1311</v>
      </c>
    </row>
    <row r="421" spans="1:1" x14ac:dyDescent="0.25">
      <c r="A421" s="36" t="s">
        <v>1503</v>
      </c>
    </row>
    <row r="422" spans="1:1" x14ac:dyDescent="0.25">
      <c r="A422" s="24" t="s">
        <v>1422</v>
      </c>
    </row>
    <row r="423" spans="1:1" x14ac:dyDescent="0.25">
      <c r="A423" s="36" t="s">
        <v>266</v>
      </c>
    </row>
    <row r="424" spans="1:1" x14ac:dyDescent="0.25">
      <c r="A424" s="24" t="s">
        <v>1420</v>
      </c>
    </row>
    <row r="425" spans="1:1" x14ac:dyDescent="0.25">
      <c r="A425" s="36" t="s">
        <v>1463</v>
      </c>
    </row>
    <row r="426" spans="1:1" x14ac:dyDescent="0.25">
      <c r="A426" s="24" t="s">
        <v>1362</v>
      </c>
    </row>
    <row r="427" spans="1:1" x14ac:dyDescent="0.25">
      <c r="A427" s="36" t="s">
        <v>1477</v>
      </c>
    </row>
    <row r="428" spans="1:1" x14ac:dyDescent="0.25">
      <c r="A428" s="24" t="s">
        <v>1368</v>
      </c>
    </row>
    <row r="429" spans="1:1" x14ac:dyDescent="0.25">
      <c r="A429" s="36" t="s">
        <v>1481</v>
      </c>
    </row>
    <row r="430" spans="1:1" x14ac:dyDescent="0.25">
      <c r="A430" s="24" t="s">
        <v>1430</v>
      </c>
    </row>
    <row r="431" spans="1:1" x14ac:dyDescent="0.25">
      <c r="A431" s="36" t="s">
        <v>291</v>
      </c>
    </row>
    <row r="432" spans="1:1" x14ac:dyDescent="0.25">
      <c r="A432" s="24" t="s">
        <v>1277</v>
      </c>
    </row>
    <row r="433" spans="1:1" x14ac:dyDescent="0.25">
      <c r="A433" s="36" t="s">
        <v>1517</v>
      </c>
    </row>
    <row r="434" spans="1:1" x14ac:dyDescent="0.25">
      <c r="A434" s="24" t="s">
        <v>1457</v>
      </c>
    </row>
    <row r="435" spans="1:1" x14ac:dyDescent="0.25">
      <c r="A435" s="36" t="s">
        <v>1507</v>
      </c>
    </row>
    <row r="436" spans="1:1" x14ac:dyDescent="0.25">
      <c r="A436" s="24" t="s">
        <v>1360</v>
      </c>
    </row>
    <row r="437" spans="1:1" x14ac:dyDescent="0.25">
      <c r="A437" s="36" t="s">
        <v>1476</v>
      </c>
    </row>
    <row r="438" spans="1:1" x14ac:dyDescent="0.25">
      <c r="A438" s="24" t="s">
        <v>1415</v>
      </c>
    </row>
    <row r="439" spans="1:1" x14ac:dyDescent="0.25">
      <c r="A439" s="36" t="s">
        <v>1469</v>
      </c>
    </row>
    <row r="440" spans="1:1" x14ac:dyDescent="0.25">
      <c r="A440" s="24" t="s">
        <v>1416</v>
      </c>
    </row>
    <row r="441" spans="1:1" x14ac:dyDescent="0.25">
      <c r="A441" s="36" t="s">
        <v>1521</v>
      </c>
    </row>
    <row r="442" spans="1:1" x14ac:dyDescent="0.25">
      <c r="A442" s="24" t="s">
        <v>1421</v>
      </c>
    </row>
    <row r="443" spans="1:1" x14ac:dyDescent="0.25">
      <c r="A443" s="36" t="s">
        <v>1493</v>
      </c>
    </row>
    <row r="444" spans="1:1" x14ac:dyDescent="0.25">
      <c r="A444" s="24" t="s">
        <v>1414</v>
      </c>
    </row>
    <row r="445" spans="1:1" x14ac:dyDescent="0.25">
      <c r="A445" s="36" t="s">
        <v>1520</v>
      </c>
    </row>
    <row r="446" spans="1:1" x14ac:dyDescent="0.25">
      <c r="A446" s="24" t="s">
        <v>1423</v>
      </c>
    </row>
    <row r="447" spans="1:1" x14ac:dyDescent="0.25">
      <c r="A447" s="36" t="s">
        <v>1479</v>
      </c>
    </row>
    <row r="448" spans="1:1" x14ac:dyDescent="0.25">
      <c r="A448" s="24" t="s">
        <v>1280</v>
      </c>
    </row>
    <row r="449" spans="1:1" x14ac:dyDescent="0.25">
      <c r="A449" s="36" t="s">
        <v>254</v>
      </c>
    </row>
    <row r="450" spans="1:1" x14ac:dyDescent="0.25">
      <c r="A450" s="24" t="s">
        <v>1424</v>
      </c>
    </row>
    <row r="451" spans="1:1" x14ac:dyDescent="0.25">
      <c r="A451" s="36" t="s">
        <v>1464</v>
      </c>
    </row>
    <row r="452" spans="1:1" x14ac:dyDescent="0.25">
      <c r="A452" s="24" t="s">
        <v>1417</v>
      </c>
    </row>
    <row r="453" spans="1:1" x14ac:dyDescent="0.25">
      <c r="A453" s="36" t="s">
        <v>1475</v>
      </c>
    </row>
    <row r="454" spans="1:1" x14ac:dyDescent="0.25">
      <c r="A454" s="24" t="s">
        <v>1425</v>
      </c>
    </row>
    <row r="455" spans="1:1" x14ac:dyDescent="0.25">
      <c r="A455" s="36" t="s">
        <v>1471</v>
      </c>
    </row>
    <row r="456" spans="1:1" x14ac:dyDescent="0.25">
      <c r="A456" s="24" t="s">
        <v>1458</v>
      </c>
    </row>
    <row r="457" spans="1:1" x14ac:dyDescent="0.25">
      <c r="A457" s="36" t="s">
        <v>1495</v>
      </c>
    </row>
    <row r="458" spans="1:1" x14ac:dyDescent="0.25">
      <c r="A458" s="24" t="s">
        <v>1275</v>
      </c>
    </row>
    <row r="459" spans="1:1" x14ac:dyDescent="0.25">
      <c r="A459" s="36" t="s">
        <v>1516</v>
      </c>
    </row>
    <row r="460" spans="1:1" x14ac:dyDescent="0.25">
      <c r="A460" s="24" t="s">
        <v>1455</v>
      </c>
    </row>
    <row r="461" spans="1:1" x14ac:dyDescent="0.25">
      <c r="A461" s="36" t="s">
        <v>1492</v>
      </c>
    </row>
    <row r="462" spans="1:1" x14ac:dyDescent="0.25">
      <c r="A462" s="24" t="s">
        <v>1221</v>
      </c>
    </row>
    <row r="463" spans="1:1" x14ac:dyDescent="0.25">
      <c r="A463" s="36" t="s">
        <v>280</v>
      </c>
    </row>
    <row r="464" spans="1:1" x14ac:dyDescent="0.25">
      <c r="A464" s="24" t="s">
        <v>1369</v>
      </c>
    </row>
    <row r="465" spans="1:1" x14ac:dyDescent="0.25">
      <c r="A465" s="36" t="s">
        <v>278</v>
      </c>
    </row>
    <row r="466" spans="1:1" x14ac:dyDescent="0.25">
      <c r="A466" s="24" t="s">
        <v>1419</v>
      </c>
    </row>
    <row r="467" spans="1:1" x14ac:dyDescent="0.25">
      <c r="A467" s="36" t="s">
        <v>1480</v>
      </c>
    </row>
    <row r="468" spans="1:1" x14ac:dyDescent="0.25">
      <c r="A468" s="24" t="s">
        <v>1287</v>
      </c>
    </row>
    <row r="469" spans="1:1" x14ac:dyDescent="0.25">
      <c r="A469" s="36" t="s">
        <v>1480</v>
      </c>
    </row>
    <row r="470" spans="1:1" x14ac:dyDescent="0.25">
      <c r="A470" s="24" t="s">
        <v>1276</v>
      </c>
    </row>
    <row r="471" spans="1:1" x14ac:dyDescent="0.25">
      <c r="A471" s="36" t="s">
        <v>247</v>
      </c>
    </row>
    <row r="472" spans="1:1" x14ac:dyDescent="0.25">
      <c r="A472" s="24" t="s">
        <v>1418</v>
      </c>
    </row>
    <row r="473" spans="1:1" x14ac:dyDescent="0.25">
      <c r="A473" s="36" t="s">
        <v>1472</v>
      </c>
    </row>
    <row r="474" spans="1:1" x14ac:dyDescent="0.25">
      <c r="A474" s="24" t="s">
        <v>1345</v>
      </c>
    </row>
    <row r="475" spans="1:1" x14ac:dyDescent="0.25">
      <c r="A475" s="36" t="s">
        <v>1461</v>
      </c>
    </row>
    <row r="476" spans="1:1" x14ac:dyDescent="0.25">
      <c r="A476" s="24" t="s">
        <v>240</v>
      </c>
    </row>
    <row r="477" spans="1:1" x14ac:dyDescent="0.25">
      <c r="A477" s="36" t="s">
        <v>280</v>
      </c>
    </row>
    <row r="478" spans="1:1" x14ac:dyDescent="0.25">
      <c r="A478" s="24" t="s">
        <v>1456</v>
      </c>
    </row>
    <row r="479" spans="1:1" x14ac:dyDescent="0.25">
      <c r="A479" s="36" t="s">
        <v>1496</v>
      </c>
    </row>
    <row r="480" spans="1:1" x14ac:dyDescent="0.25">
      <c r="A480" s="24" t="s">
        <v>213</v>
      </c>
    </row>
    <row r="481" spans="1:1" x14ac:dyDescent="0.25">
      <c r="A481" s="36" t="s">
        <v>243</v>
      </c>
    </row>
    <row r="482" spans="1:1" x14ac:dyDescent="0.25">
      <c r="A482" s="36" t="s">
        <v>1463</v>
      </c>
    </row>
    <row r="483" spans="1:1" x14ac:dyDescent="0.25">
      <c r="A483" s="24" t="s">
        <v>221</v>
      </c>
    </row>
    <row r="484" spans="1:1" x14ac:dyDescent="0.25">
      <c r="A484" s="36" t="s">
        <v>252</v>
      </c>
    </row>
    <row r="485" spans="1:1" x14ac:dyDescent="0.25">
      <c r="A485" s="36" t="s">
        <v>1465</v>
      </c>
    </row>
    <row r="486" spans="1:1" x14ac:dyDescent="0.25">
      <c r="A486" s="24" t="s">
        <v>1271</v>
      </c>
    </row>
    <row r="487" spans="1:1" x14ac:dyDescent="0.25">
      <c r="A487" s="36" t="s">
        <v>1512</v>
      </c>
    </row>
    <row r="488" spans="1:1" x14ac:dyDescent="0.25">
      <c r="A488" s="24" t="s">
        <v>232</v>
      </c>
    </row>
    <row r="489" spans="1:1" x14ac:dyDescent="0.25">
      <c r="A489" s="36" t="s">
        <v>263</v>
      </c>
    </row>
    <row r="490" spans="1:1" x14ac:dyDescent="0.25">
      <c r="A490" s="36" t="s">
        <v>1463</v>
      </c>
    </row>
    <row r="491" spans="1:1" x14ac:dyDescent="0.25">
      <c r="A491" s="24" t="s">
        <v>1405</v>
      </c>
    </row>
    <row r="492" spans="1:1" x14ac:dyDescent="0.25">
      <c r="A492" s="36" t="s">
        <v>1514</v>
      </c>
    </row>
    <row r="493" spans="1:1" x14ac:dyDescent="0.25">
      <c r="A493" s="24" t="s">
        <v>225</v>
      </c>
    </row>
    <row r="494" spans="1:1" x14ac:dyDescent="0.25">
      <c r="A494" s="36" t="s">
        <v>256</v>
      </c>
    </row>
    <row r="495" spans="1:1" x14ac:dyDescent="0.25">
      <c r="A495" s="24" t="s">
        <v>1289</v>
      </c>
    </row>
    <row r="496" spans="1:1" x14ac:dyDescent="0.25">
      <c r="A496" s="36" t="s">
        <v>266</v>
      </c>
    </row>
    <row r="497" spans="1:1" x14ac:dyDescent="0.25">
      <c r="A497" s="24" t="s">
        <v>1352</v>
      </c>
    </row>
    <row r="498" spans="1:1" x14ac:dyDescent="0.25">
      <c r="A498" s="36" t="s">
        <v>1467</v>
      </c>
    </row>
    <row r="499" spans="1:1" x14ac:dyDescent="0.25">
      <c r="A499" s="24" t="s">
        <v>1304</v>
      </c>
    </row>
    <row r="500" spans="1:1" x14ac:dyDescent="0.25">
      <c r="A500" s="36" t="s">
        <v>260</v>
      </c>
    </row>
    <row r="501" spans="1:1" x14ac:dyDescent="0.25">
      <c r="A501" s="24" t="s">
        <v>1292</v>
      </c>
    </row>
    <row r="502" spans="1:1" x14ac:dyDescent="0.25">
      <c r="A502" s="36" t="s">
        <v>1471</v>
      </c>
    </row>
    <row r="503" spans="1:1" x14ac:dyDescent="0.25">
      <c r="A503" s="24" t="s">
        <v>1273</v>
      </c>
    </row>
    <row r="504" spans="1:1" x14ac:dyDescent="0.25">
      <c r="A504" s="36" t="s">
        <v>1514</v>
      </c>
    </row>
    <row r="505" spans="1:1" x14ac:dyDescent="0.25">
      <c r="A505" s="24" t="s">
        <v>22</v>
      </c>
    </row>
    <row r="506" spans="1:1" x14ac:dyDescent="0.25">
      <c r="A506" s="36" t="s">
        <v>244</v>
      </c>
    </row>
    <row r="507" spans="1:1" x14ac:dyDescent="0.25">
      <c r="A507" s="36" t="s">
        <v>1460</v>
      </c>
    </row>
    <row r="508" spans="1:1" x14ac:dyDescent="0.25">
      <c r="A508" s="24" t="s">
        <v>231</v>
      </c>
    </row>
    <row r="509" spans="1:1" x14ac:dyDescent="0.25">
      <c r="A509" s="36" t="s">
        <v>1460</v>
      </c>
    </row>
    <row r="510" spans="1:1" x14ac:dyDescent="0.25">
      <c r="A510" s="36" t="s">
        <v>262</v>
      </c>
    </row>
    <row r="511" spans="1:1" x14ac:dyDescent="0.25">
      <c r="A511" s="24" t="s">
        <v>1244</v>
      </c>
    </row>
    <row r="512" spans="1:1" x14ac:dyDescent="0.25">
      <c r="A512" s="36" t="s">
        <v>1487</v>
      </c>
    </row>
    <row r="513" spans="1:1" x14ac:dyDescent="0.25">
      <c r="A513" s="24" t="s">
        <v>1234</v>
      </c>
    </row>
    <row r="514" spans="1:1" x14ac:dyDescent="0.25">
      <c r="A514" s="36" t="s">
        <v>272</v>
      </c>
    </row>
    <row r="515" spans="1:1" x14ac:dyDescent="0.25">
      <c r="A515" s="24" t="s">
        <v>1324</v>
      </c>
    </row>
    <row r="516" spans="1:1" x14ac:dyDescent="0.25">
      <c r="A516" s="36" t="s">
        <v>1489</v>
      </c>
    </row>
    <row r="517" spans="1:1" x14ac:dyDescent="0.25">
      <c r="A517" s="24" t="s">
        <v>1209</v>
      </c>
    </row>
    <row r="518" spans="1:1" x14ac:dyDescent="0.25">
      <c r="A518" s="36" t="s">
        <v>269</v>
      </c>
    </row>
    <row r="519" spans="1:1" x14ac:dyDescent="0.25">
      <c r="A519" s="24" t="s">
        <v>1245</v>
      </c>
    </row>
    <row r="520" spans="1:1" x14ac:dyDescent="0.25">
      <c r="A520" s="36" t="s">
        <v>1488</v>
      </c>
    </row>
    <row r="521" spans="1:1" x14ac:dyDescent="0.25">
      <c r="A521" s="24" t="s">
        <v>1389</v>
      </c>
    </row>
    <row r="522" spans="1:1" x14ac:dyDescent="0.25">
      <c r="A522" s="36" t="s">
        <v>1501</v>
      </c>
    </row>
    <row r="523" spans="1:1" x14ac:dyDescent="0.25">
      <c r="A523" s="24" t="s">
        <v>239</v>
      </c>
    </row>
    <row r="524" spans="1:1" x14ac:dyDescent="0.25">
      <c r="A524" s="36" t="s">
        <v>270</v>
      </c>
    </row>
    <row r="525" spans="1:1" x14ac:dyDescent="0.25">
      <c r="A525" s="24" t="s">
        <v>1391</v>
      </c>
    </row>
    <row r="526" spans="1:1" x14ac:dyDescent="0.25">
      <c r="A526" s="36" t="s">
        <v>1502</v>
      </c>
    </row>
    <row r="527" spans="1:1" x14ac:dyDescent="0.25">
      <c r="A527" s="24" t="s">
        <v>1426</v>
      </c>
    </row>
    <row r="528" spans="1:1" x14ac:dyDescent="0.25">
      <c r="A528" s="36" t="s">
        <v>1465</v>
      </c>
    </row>
    <row r="529" spans="1:1" x14ac:dyDescent="0.25">
      <c r="A529" s="24" t="s">
        <v>223</v>
      </c>
    </row>
    <row r="530" spans="1:1" x14ac:dyDescent="0.25">
      <c r="A530" s="36" t="s">
        <v>1519</v>
      </c>
    </row>
    <row r="531" spans="1:1" x14ac:dyDescent="0.25">
      <c r="A531" s="36" t="s">
        <v>254</v>
      </c>
    </row>
    <row r="532" spans="1:1" x14ac:dyDescent="0.25">
      <c r="A532" s="24" t="s">
        <v>1242</v>
      </c>
    </row>
    <row r="533" spans="1:1" x14ac:dyDescent="0.25">
      <c r="A533" s="36" t="s">
        <v>1485</v>
      </c>
    </row>
    <row r="534" spans="1:1" x14ac:dyDescent="0.25">
      <c r="A534" s="24" t="s">
        <v>1306</v>
      </c>
    </row>
    <row r="535" spans="1:1" x14ac:dyDescent="0.25">
      <c r="A535" s="36" t="s">
        <v>1498</v>
      </c>
    </row>
    <row r="536" spans="1:1" x14ac:dyDescent="0.25">
      <c r="A536" s="24" t="s">
        <v>1393</v>
      </c>
    </row>
    <row r="537" spans="1:1" x14ac:dyDescent="0.25">
      <c r="A537" s="36" t="s">
        <v>270</v>
      </c>
    </row>
    <row r="538" spans="1:1" x14ac:dyDescent="0.25">
      <c r="A538" s="24" t="s">
        <v>1387</v>
      </c>
    </row>
    <row r="539" spans="1:1" x14ac:dyDescent="0.25">
      <c r="A539" s="36" t="s">
        <v>1499</v>
      </c>
    </row>
    <row r="540" spans="1:1" x14ac:dyDescent="0.25">
      <c r="A540" s="24" t="s">
        <v>1394</v>
      </c>
    </row>
    <row r="541" spans="1:1" x14ac:dyDescent="0.25">
      <c r="A541" s="36" t="s">
        <v>1504</v>
      </c>
    </row>
    <row r="542" spans="1:1" x14ac:dyDescent="0.25">
      <c r="A542" s="24" t="s">
        <v>1390</v>
      </c>
    </row>
    <row r="543" spans="1:1" x14ac:dyDescent="0.25">
      <c r="A543" s="36" t="s">
        <v>273</v>
      </c>
    </row>
    <row r="544" spans="1:1" x14ac:dyDescent="0.25">
      <c r="A544" s="24" t="s">
        <v>1262</v>
      </c>
    </row>
    <row r="545" spans="1:1" x14ac:dyDescent="0.25">
      <c r="A545" s="36" t="s">
        <v>270</v>
      </c>
    </row>
    <row r="546" spans="1:1" x14ac:dyDescent="0.25">
      <c r="A546" s="24" t="s">
        <v>1265</v>
      </c>
    </row>
    <row r="547" spans="1:1" x14ac:dyDescent="0.25">
      <c r="A547" s="36" t="s">
        <v>1506</v>
      </c>
    </row>
    <row r="548" spans="1:1" x14ac:dyDescent="0.25">
      <c r="A548" s="24" t="s">
        <v>1243</v>
      </c>
    </row>
    <row r="549" spans="1:1" x14ac:dyDescent="0.25">
      <c r="A549" s="36" t="s">
        <v>1486</v>
      </c>
    </row>
    <row r="550" spans="1:1" x14ac:dyDescent="0.25">
      <c r="A550" s="24" t="s">
        <v>1261</v>
      </c>
    </row>
    <row r="551" spans="1:1" x14ac:dyDescent="0.25">
      <c r="A551" s="36" t="s">
        <v>1503</v>
      </c>
    </row>
    <row r="552" spans="1:1" x14ac:dyDescent="0.25">
      <c r="A552" s="24" t="s">
        <v>1340</v>
      </c>
    </row>
    <row r="553" spans="1:1" x14ac:dyDescent="0.25">
      <c r="A553" s="36" t="s">
        <v>1459</v>
      </c>
    </row>
    <row r="554" spans="1:1" x14ac:dyDescent="0.25">
      <c r="A554" s="24" t="s">
        <v>1446</v>
      </c>
    </row>
    <row r="555" spans="1:1" x14ac:dyDescent="0.25">
      <c r="A555" s="36" t="s">
        <v>1503</v>
      </c>
    </row>
    <row r="556" spans="1:1" x14ac:dyDescent="0.25">
      <c r="A556" s="24" t="s">
        <v>228</v>
      </c>
    </row>
    <row r="557" spans="1:1" x14ac:dyDescent="0.25">
      <c r="A557" s="36" t="s">
        <v>259</v>
      </c>
    </row>
    <row r="558" spans="1:1" x14ac:dyDescent="0.25">
      <c r="A558" s="36" t="s">
        <v>1478</v>
      </c>
    </row>
    <row r="559" spans="1:1" x14ac:dyDescent="0.25">
      <c r="A559" s="24" t="s">
        <v>1247</v>
      </c>
    </row>
    <row r="560" spans="1:1" x14ac:dyDescent="0.25">
      <c r="A560" s="36" t="s">
        <v>1490</v>
      </c>
    </row>
    <row r="561" spans="1:1" x14ac:dyDescent="0.25">
      <c r="A561" s="24" t="s">
        <v>1250</v>
      </c>
    </row>
    <row r="562" spans="1:1" x14ac:dyDescent="0.25">
      <c r="A562" s="36" t="s">
        <v>1493</v>
      </c>
    </row>
    <row r="563" spans="1:1" x14ac:dyDescent="0.25">
      <c r="A563" s="24" t="s">
        <v>1411</v>
      </c>
    </row>
    <row r="564" spans="1:1" x14ac:dyDescent="0.25">
      <c r="A564" s="36" t="s">
        <v>254</v>
      </c>
    </row>
    <row r="565" spans="1:1" x14ac:dyDescent="0.25">
      <c r="A565" s="24" t="s">
        <v>227</v>
      </c>
    </row>
    <row r="566" spans="1:1" x14ac:dyDescent="0.25">
      <c r="A566" s="36" t="s">
        <v>258</v>
      </c>
    </row>
    <row r="567" spans="1:1" x14ac:dyDescent="0.25">
      <c r="A567" s="24" t="s">
        <v>1303</v>
      </c>
    </row>
    <row r="568" spans="1:1" x14ac:dyDescent="0.25">
      <c r="A568" s="36" t="s">
        <v>259</v>
      </c>
    </row>
    <row r="569" spans="1:1" x14ac:dyDescent="0.25">
      <c r="A569" s="24" t="s">
        <v>1297</v>
      </c>
    </row>
    <row r="570" spans="1:1" x14ac:dyDescent="0.25">
      <c r="A570" s="36" t="s">
        <v>291</v>
      </c>
    </row>
    <row r="571" spans="1:1" x14ac:dyDescent="0.25">
      <c r="A571" s="24" t="s">
        <v>1267</v>
      </c>
    </row>
    <row r="572" spans="1:1" x14ac:dyDescent="0.25">
      <c r="A572" s="36" t="s">
        <v>1508</v>
      </c>
    </row>
    <row r="573" spans="1:1" x14ac:dyDescent="0.25">
      <c r="A573" s="24" t="s">
        <v>1300</v>
      </c>
    </row>
    <row r="574" spans="1:1" x14ac:dyDescent="0.25">
      <c r="A574" s="36" t="s">
        <v>1461</v>
      </c>
    </row>
    <row r="575" spans="1:1" x14ac:dyDescent="0.25">
      <c r="A575" s="24" t="s">
        <v>1296</v>
      </c>
    </row>
    <row r="576" spans="1:1" x14ac:dyDescent="0.25">
      <c r="A576" s="36" t="s">
        <v>271</v>
      </c>
    </row>
    <row r="577" spans="1:1" x14ac:dyDescent="0.25">
      <c r="A577" s="24" t="s">
        <v>1229</v>
      </c>
    </row>
    <row r="578" spans="1:1" x14ac:dyDescent="0.25">
      <c r="A578" s="36" t="s">
        <v>1475</v>
      </c>
    </row>
    <row r="579" spans="1:1" x14ac:dyDescent="0.25">
      <c r="A579" s="24" t="s">
        <v>1307</v>
      </c>
    </row>
    <row r="580" spans="1:1" x14ac:dyDescent="0.25">
      <c r="A580" s="36" t="s">
        <v>1467</v>
      </c>
    </row>
    <row r="581" spans="1:1" x14ac:dyDescent="0.25">
      <c r="A581" s="24" t="s">
        <v>1230</v>
      </c>
    </row>
    <row r="582" spans="1:1" x14ac:dyDescent="0.25">
      <c r="A582" s="36" t="s">
        <v>1476</v>
      </c>
    </row>
    <row r="583" spans="1:1" x14ac:dyDescent="0.25">
      <c r="A583" s="24" t="s">
        <v>1367</v>
      </c>
    </row>
    <row r="584" spans="1:1" x14ac:dyDescent="0.25">
      <c r="A584" s="36" t="s">
        <v>1480</v>
      </c>
    </row>
    <row r="585" spans="1:1" x14ac:dyDescent="0.25">
      <c r="A585" s="24" t="s">
        <v>1216</v>
      </c>
    </row>
    <row r="586" spans="1:1" x14ac:dyDescent="0.25">
      <c r="A586" s="36" t="s">
        <v>254</v>
      </c>
    </row>
    <row r="587" spans="1:1" x14ac:dyDescent="0.25">
      <c r="A587" s="24" t="s">
        <v>1588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"/>
  <sheetViews>
    <sheetView zoomScale="140" zoomScaleNormal="140" workbookViewId="0">
      <selection sqref="A1:L302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  <c r="L2" t="e">
        <f>SUM(H2C2:C6)</f>
        <v>#NAME?</v>
      </c>
    </row>
    <row r="3" spans="1:15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26"/>
      <c r="B3" s="27"/>
      <c r="C3" s="28"/>
    </row>
    <row r="4" spans="1:3" x14ac:dyDescent="0.25">
      <c r="A4" s="29"/>
      <c r="B4" s="30"/>
      <c r="C4" s="31"/>
    </row>
    <row r="5" spans="1:3" x14ac:dyDescent="0.25">
      <c r="A5" s="29"/>
      <c r="B5" s="30"/>
      <c r="C5" s="31"/>
    </row>
    <row r="6" spans="1:3" x14ac:dyDescent="0.25">
      <c r="A6" s="29"/>
      <c r="B6" s="30"/>
      <c r="C6" s="31"/>
    </row>
    <row r="7" spans="1:3" x14ac:dyDescent="0.25">
      <c r="A7" s="29"/>
      <c r="B7" s="30"/>
      <c r="C7" s="31"/>
    </row>
    <row r="8" spans="1:3" x14ac:dyDescent="0.25">
      <c r="A8" s="29"/>
      <c r="B8" s="30"/>
      <c r="C8" s="31"/>
    </row>
    <row r="9" spans="1:3" x14ac:dyDescent="0.25">
      <c r="A9" s="29"/>
      <c r="B9" s="30"/>
      <c r="C9" s="31"/>
    </row>
    <row r="10" spans="1:3" x14ac:dyDescent="0.25">
      <c r="A10" s="29"/>
      <c r="B10" s="30"/>
      <c r="C10" s="31"/>
    </row>
    <row r="11" spans="1:3" x14ac:dyDescent="0.25">
      <c r="A11" s="29"/>
      <c r="B11" s="30"/>
      <c r="C11" s="31"/>
    </row>
    <row r="12" spans="1:3" x14ac:dyDescent="0.25">
      <c r="A12" s="29"/>
      <c r="B12" s="30"/>
      <c r="C12" s="31"/>
    </row>
    <row r="13" spans="1:3" x14ac:dyDescent="0.25">
      <c r="A13" s="29"/>
      <c r="B13" s="30"/>
      <c r="C13" s="31"/>
    </row>
    <row r="14" spans="1:3" x14ac:dyDescent="0.25">
      <c r="A14" s="29"/>
      <c r="B14" s="30"/>
      <c r="C14" s="31"/>
    </row>
    <row r="15" spans="1:3" x14ac:dyDescent="0.25">
      <c r="A15" s="29"/>
      <c r="B15" s="30"/>
      <c r="C15" s="31"/>
    </row>
    <row r="16" spans="1:3" x14ac:dyDescent="0.25">
      <c r="A16" s="29"/>
      <c r="B16" s="30"/>
      <c r="C16" s="31"/>
    </row>
    <row r="17" spans="1:3" x14ac:dyDescent="0.25">
      <c r="A17" s="29"/>
      <c r="B17" s="30"/>
      <c r="C17" s="31"/>
    </row>
    <row r="18" spans="1:3" x14ac:dyDescent="0.25">
      <c r="A18" s="29"/>
      <c r="B18" s="30"/>
      <c r="C18" s="31"/>
    </row>
    <row r="19" spans="1:3" x14ac:dyDescent="0.25">
      <c r="A19" s="29"/>
      <c r="B19" s="30"/>
      <c r="C19" s="31"/>
    </row>
    <row r="20" spans="1:3" x14ac:dyDescent="0.25">
      <c r="A20" s="32"/>
      <c r="B20" s="33"/>
      <c r="C20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zoomScale="150" zoomScaleNormal="150" workbookViewId="0">
      <selection sqref="A1:K100"/>
    </sheetView>
  </sheetViews>
  <sheetFormatPr defaultRowHeight="15" x14ac:dyDescent="0.25"/>
  <cols>
    <col min="1" max="1" width="22.42578125" customWidth="1"/>
    <col min="2" max="2" width="20.140625" customWidth="1"/>
    <col min="3" max="3" width="17.5703125" customWidth="1"/>
    <col min="4" max="4" width="20.42578125" customWidth="1"/>
    <col min="5" max="5" width="23.28515625" customWidth="1"/>
    <col min="6" max="6" width="12.85546875" customWidth="1"/>
    <col min="7" max="7" width="12.5703125" customWidth="1"/>
    <col min="8" max="8" width="14.5703125" customWidth="1"/>
    <col min="9" max="9" width="14" customWidth="1"/>
    <col min="10" max="10" width="13.28515625" bestFit="1" customWidth="1"/>
    <col min="11" max="11" width="13.85546875" bestFit="1" customWidth="1"/>
  </cols>
  <sheetData>
    <row r="1" spans="1:11" x14ac:dyDescent="0.25">
      <c r="A1" s="25" t="s">
        <v>1545</v>
      </c>
      <c r="B1" s="25" t="s">
        <v>105</v>
      </c>
      <c r="C1" s="25" t="s">
        <v>9</v>
      </c>
      <c r="D1" s="25" t="s">
        <v>108</v>
      </c>
      <c r="E1" s="25" t="s">
        <v>1</v>
      </c>
      <c r="F1" s="25" t="s">
        <v>1581</v>
      </c>
      <c r="G1" s="25" t="s">
        <v>1582</v>
      </c>
      <c r="H1" s="25" t="s">
        <v>1583</v>
      </c>
      <c r="I1" s="25" t="s">
        <v>1584</v>
      </c>
      <c r="J1" s="25" t="s">
        <v>1585</v>
      </c>
      <c r="K1" s="25" t="s">
        <v>1586</v>
      </c>
    </row>
    <row r="2" spans="1:11" x14ac:dyDescent="0.25">
      <c r="A2" s="15">
        <v>101</v>
      </c>
      <c r="B2" s="15" t="s">
        <v>213</v>
      </c>
      <c r="C2" s="15">
        <v>95000</v>
      </c>
      <c r="D2" s="17" t="s">
        <v>1527</v>
      </c>
      <c r="E2" s="15">
        <v>5</v>
      </c>
      <c r="F2" s="15">
        <f>C2*E2</f>
        <v>475000</v>
      </c>
      <c r="G2" s="15">
        <f>SUM(F:F)</f>
        <v>62166000</v>
      </c>
      <c r="H2" s="15">
        <f>SUM(E2:E6)</f>
        <v>20</v>
      </c>
      <c r="I2" s="15">
        <f>COUNTA(A2:A6)</f>
        <v>5</v>
      </c>
      <c r="J2" s="15">
        <f>AVERAGE(C2:C6)</f>
        <v>649000</v>
      </c>
      <c r="K2" s="15"/>
    </row>
    <row r="3" spans="1:11" x14ac:dyDescent="0.25">
      <c r="A3" s="15">
        <v>102</v>
      </c>
      <c r="B3" s="15" t="s">
        <v>57</v>
      </c>
      <c r="C3" s="15">
        <v>850000</v>
      </c>
      <c r="D3" s="17" t="s">
        <v>1535</v>
      </c>
      <c r="E3" s="17">
        <v>3</v>
      </c>
      <c r="F3" s="15">
        <f t="shared" ref="F3:F66" si="0">C3*E3</f>
        <v>2550000</v>
      </c>
      <c r="G3" s="15"/>
      <c r="H3" s="15">
        <f t="shared" ref="H3:H66" si="1">SUM(E3:E7)</f>
        <v>23</v>
      </c>
      <c r="I3" s="15">
        <f t="shared" ref="I3:I66" si="2">COUNTA(A3:A7)</f>
        <v>5</v>
      </c>
      <c r="J3" s="15">
        <f>AVERAGE(C3:C7)</f>
        <v>700000</v>
      </c>
      <c r="K3" s="15"/>
    </row>
    <row r="4" spans="1:11" x14ac:dyDescent="0.25">
      <c r="A4" s="15">
        <v>103</v>
      </c>
      <c r="B4" s="15" t="s">
        <v>22</v>
      </c>
      <c r="C4" s="15">
        <v>1200000</v>
      </c>
      <c r="D4" s="17" t="s">
        <v>1525</v>
      </c>
      <c r="E4" s="17">
        <v>4</v>
      </c>
      <c r="F4" s="15">
        <f t="shared" si="0"/>
        <v>4800000</v>
      </c>
      <c r="G4" s="15"/>
      <c r="H4" s="15">
        <f t="shared" si="1"/>
        <v>27</v>
      </c>
      <c r="I4" s="15">
        <f t="shared" si="2"/>
        <v>5</v>
      </c>
      <c r="J4" s="15">
        <f t="shared" ref="J4:J67" si="3">AVERAGE(C4:C8)</f>
        <v>554000</v>
      </c>
      <c r="K4" s="15"/>
    </row>
    <row r="5" spans="1:11" x14ac:dyDescent="0.25">
      <c r="A5" s="15">
        <v>104</v>
      </c>
      <c r="B5" s="15" t="s">
        <v>221</v>
      </c>
      <c r="C5" s="15">
        <v>420000</v>
      </c>
      <c r="D5" s="17" t="s">
        <v>1532</v>
      </c>
      <c r="E5" s="17">
        <v>6</v>
      </c>
      <c r="F5" s="15">
        <f t="shared" si="0"/>
        <v>2520000</v>
      </c>
      <c r="G5" s="15"/>
      <c r="H5" s="15">
        <f t="shared" si="1"/>
        <v>27</v>
      </c>
      <c r="I5" s="15">
        <f t="shared" si="2"/>
        <v>5</v>
      </c>
      <c r="J5" s="15">
        <f t="shared" si="3"/>
        <v>333000</v>
      </c>
      <c r="K5" s="15"/>
    </row>
    <row r="6" spans="1:11" x14ac:dyDescent="0.25">
      <c r="A6" s="15">
        <v>105</v>
      </c>
      <c r="B6" s="15" t="s">
        <v>1345</v>
      </c>
      <c r="C6" s="15">
        <v>680000</v>
      </c>
      <c r="D6" s="17" t="s">
        <v>1578</v>
      </c>
      <c r="E6" s="17">
        <v>2</v>
      </c>
      <c r="F6" s="15">
        <f t="shared" si="0"/>
        <v>1360000</v>
      </c>
      <c r="G6" s="15"/>
      <c r="H6" s="15">
        <f t="shared" si="1"/>
        <v>30</v>
      </c>
      <c r="I6" s="15">
        <f t="shared" si="2"/>
        <v>5</v>
      </c>
      <c r="J6" s="15">
        <f t="shared" si="3"/>
        <v>291000</v>
      </c>
      <c r="K6" s="15"/>
    </row>
    <row r="7" spans="1:11" x14ac:dyDescent="0.25">
      <c r="A7" s="15">
        <v>106</v>
      </c>
      <c r="B7" s="15" t="s">
        <v>218</v>
      </c>
      <c r="C7" s="15">
        <v>350000</v>
      </c>
      <c r="D7" s="17" t="s">
        <v>295</v>
      </c>
      <c r="E7" s="17">
        <v>8</v>
      </c>
      <c r="F7" s="15">
        <f t="shared" si="0"/>
        <v>2800000</v>
      </c>
      <c r="G7" s="15"/>
      <c r="H7" s="15">
        <f t="shared" si="1"/>
        <v>34</v>
      </c>
      <c r="I7" s="15">
        <f t="shared" si="2"/>
        <v>5</v>
      </c>
      <c r="J7" s="15">
        <f t="shared" si="3"/>
        <v>231000</v>
      </c>
      <c r="K7" s="15"/>
    </row>
    <row r="8" spans="1:11" x14ac:dyDescent="0.25">
      <c r="A8" s="15">
        <v>107</v>
      </c>
      <c r="B8" s="15" t="s">
        <v>220</v>
      </c>
      <c r="C8" s="15">
        <v>120000</v>
      </c>
      <c r="D8" s="17" t="s">
        <v>1579</v>
      </c>
      <c r="E8" s="17">
        <v>7</v>
      </c>
      <c r="F8" s="15">
        <f t="shared" si="0"/>
        <v>840000</v>
      </c>
      <c r="G8" s="15"/>
      <c r="H8" s="15">
        <f t="shared" si="1"/>
        <v>29</v>
      </c>
      <c r="I8" s="15">
        <f t="shared" si="2"/>
        <v>5</v>
      </c>
      <c r="J8" s="15">
        <f t="shared" si="3"/>
        <v>209000</v>
      </c>
      <c r="K8" s="15"/>
    </row>
    <row r="9" spans="1:11" x14ac:dyDescent="0.25">
      <c r="A9" s="15">
        <v>108</v>
      </c>
      <c r="B9" s="15" t="s">
        <v>1300</v>
      </c>
      <c r="C9" s="15">
        <v>95000</v>
      </c>
      <c r="D9" s="17" t="s">
        <v>1527</v>
      </c>
      <c r="E9" s="17">
        <v>4</v>
      </c>
      <c r="F9" s="15">
        <f t="shared" si="0"/>
        <v>380000</v>
      </c>
      <c r="G9" s="15"/>
      <c r="H9" s="15">
        <f t="shared" si="1"/>
        <v>27</v>
      </c>
      <c r="I9" s="15">
        <f t="shared" si="2"/>
        <v>5</v>
      </c>
      <c r="J9" s="15">
        <f t="shared" si="3"/>
        <v>249000</v>
      </c>
      <c r="K9" s="15"/>
    </row>
    <row r="10" spans="1:11" x14ac:dyDescent="0.25">
      <c r="A10" s="15">
        <v>109</v>
      </c>
      <c r="B10" s="15" t="s">
        <v>216</v>
      </c>
      <c r="C10" s="15">
        <v>210000</v>
      </c>
      <c r="D10" s="17" t="s">
        <v>1538</v>
      </c>
      <c r="E10" s="17">
        <v>9</v>
      </c>
      <c r="F10" s="15">
        <f t="shared" si="0"/>
        <v>1890000</v>
      </c>
      <c r="G10" s="15"/>
      <c r="H10" s="15">
        <f t="shared" si="1"/>
        <v>25</v>
      </c>
      <c r="I10" s="15">
        <f t="shared" si="2"/>
        <v>5</v>
      </c>
      <c r="J10" s="15">
        <f t="shared" si="3"/>
        <v>260000</v>
      </c>
      <c r="K10" s="15"/>
    </row>
    <row r="11" spans="1:11" x14ac:dyDescent="0.25">
      <c r="A11" s="15">
        <v>110</v>
      </c>
      <c r="B11" s="15" t="s">
        <v>217</v>
      </c>
      <c r="C11" s="15">
        <v>380000</v>
      </c>
      <c r="D11" s="17" t="s">
        <v>1523</v>
      </c>
      <c r="E11" s="17">
        <v>6</v>
      </c>
      <c r="F11" s="15">
        <f t="shared" si="0"/>
        <v>2280000</v>
      </c>
      <c r="G11" s="15"/>
      <c r="H11" s="15">
        <f t="shared" si="1"/>
        <v>23</v>
      </c>
      <c r="I11" s="15">
        <f t="shared" si="2"/>
        <v>5</v>
      </c>
      <c r="J11" s="15">
        <f t="shared" si="3"/>
        <v>227000</v>
      </c>
      <c r="K11" s="15"/>
    </row>
    <row r="12" spans="1:11" x14ac:dyDescent="0.25">
      <c r="A12" s="15">
        <v>111</v>
      </c>
      <c r="B12" s="15" t="s">
        <v>215</v>
      </c>
      <c r="C12" s="15">
        <v>240000</v>
      </c>
      <c r="D12" s="17" t="s">
        <v>1580</v>
      </c>
      <c r="E12" s="17">
        <v>3</v>
      </c>
      <c r="F12" s="15">
        <f t="shared" si="0"/>
        <v>720000</v>
      </c>
      <c r="G12" s="15"/>
      <c r="H12" s="15">
        <f t="shared" si="1"/>
        <v>21</v>
      </c>
      <c r="I12" s="15">
        <f t="shared" si="2"/>
        <v>5</v>
      </c>
      <c r="J12" s="15">
        <f t="shared" si="3"/>
        <v>162000</v>
      </c>
      <c r="K12" s="15"/>
    </row>
    <row r="13" spans="1:11" x14ac:dyDescent="0.25">
      <c r="A13" s="15">
        <v>112</v>
      </c>
      <c r="B13" s="15" t="s">
        <v>226</v>
      </c>
      <c r="C13" s="15">
        <v>320000</v>
      </c>
      <c r="D13" s="17" t="s">
        <v>1525</v>
      </c>
      <c r="E13" s="17">
        <v>5</v>
      </c>
      <c r="F13" s="15">
        <f t="shared" si="0"/>
        <v>1600000</v>
      </c>
      <c r="G13" s="15"/>
      <c r="H13" s="15">
        <f t="shared" si="1"/>
        <v>24</v>
      </c>
      <c r="I13" s="15">
        <f t="shared" si="2"/>
        <v>5</v>
      </c>
      <c r="J13" s="15">
        <f t="shared" si="3"/>
        <v>131000</v>
      </c>
      <c r="K13" s="15"/>
    </row>
    <row r="14" spans="1:11" x14ac:dyDescent="0.25">
      <c r="A14" s="15">
        <v>113</v>
      </c>
      <c r="B14" s="15" t="s">
        <v>1546</v>
      </c>
      <c r="C14" s="15">
        <v>150000</v>
      </c>
      <c r="D14" s="17" t="s">
        <v>1530</v>
      </c>
      <c r="E14" s="17">
        <v>2</v>
      </c>
      <c r="F14" s="15">
        <f t="shared" si="0"/>
        <v>300000</v>
      </c>
      <c r="G14" s="15"/>
      <c r="H14" s="15">
        <f t="shared" si="1"/>
        <v>27</v>
      </c>
      <c r="I14" s="15">
        <f t="shared" si="2"/>
        <v>5</v>
      </c>
      <c r="J14" s="15">
        <f t="shared" si="3"/>
        <v>91000</v>
      </c>
      <c r="K14" s="15"/>
    </row>
    <row r="15" spans="1:11" x14ac:dyDescent="0.25">
      <c r="A15" s="15">
        <v>114</v>
      </c>
      <c r="B15" s="15" t="s">
        <v>222</v>
      </c>
      <c r="C15" s="15">
        <v>45000</v>
      </c>
      <c r="D15" s="17" t="s">
        <v>1528</v>
      </c>
      <c r="E15" s="17">
        <v>7</v>
      </c>
      <c r="F15" s="15">
        <f t="shared" si="0"/>
        <v>315000</v>
      </c>
      <c r="G15" s="15"/>
      <c r="H15" s="15">
        <f t="shared" si="1"/>
        <v>28</v>
      </c>
      <c r="I15" s="15">
        <f t="shared" si="2"/>
        <v>5</v>
      </c>
      <c r="J15" s="15">
        <f t="shared" si="3"/>
        <v>69400</v>
      </c>
      <c r="K15" s="15"/>
    </row>
    <row r="16" spans="1:11" x14ac:dyDescent="0.25">
      <c r="A16" s="15">
        <v>115</v>
      </c>
      <c r="B16" s="15" t="s">
        <v>239</v>
      </c>
      <c r="C16" s="15">
        <v>55000</v>
      </c>
      <c r="D16" s="17" t="s">
        <v>1535</v>
      </c>
      <c r="E16" s="17">
        <v>4</v>
      </c>
      <c r="F16" s="15">
        <f t="shared" si="0"/>
        <v>220000</v>
      </c>
      <c r="G16" s="15"/>
      <c r="H16" s="15">
        <f t="shared" si="1"/>
        <v>26</v>
      </c>
      <c r="I16" s="15">
        <f t="shared" si="2"/>
        <v>5</v>
      </c>
      <c r="J16" s="15">
        <f t="shared" si="3"/>
        <v>74000</v>
      </c>
      <c r="K16" s="15"/>
    </row>
    <row r="17" spans="1:11" x14ac:dyDescent="0.25">
      <c r="A17" s="15">
        <v>116</v>
      </c>
      <c r="B17" s="15" t="s">
        <v>1547</v>
      </c>
      <c r="C17" s="15">
        <v>85000</v>
      </c>
      <c r="D17" s="17" t="s">
        <v>1578</v>
      </c>
      <c r="E17" s="17">
        <v>6</v>
      </c>
      <c r="F17" s="15">
        <f t="shared" si="0"/>
        <v>510000</v>
      </c>
      <c r="G17" s="15"/>
      <c r="H17" s="15">
        <f t="shared" si="1"/>
        <v>31</v>
      </c>
      <c r="I17" s="15">
        <f t="shared" si="2"/>
        <v>5</v>
      </c>
      <c r="J17" s="15">
        <f t="shared" si="3"/>
        <v>82000</v>
      </c>
      <c r="K17" s="15"/>
    </row>
    <row r="18" spans="1:11" x14ac:dyDescent="0.25">
      <c r="A18" s="15">
        <v>117</v>
      </c>
      <c r="B18" s="15" t="s">
        <v>228</v>
      </c>
      <c r="C18" s="15">
        <v>120000</v>
      </c>
      <c r="D18" s="17" t="s">
        <v>1532</v>
      </c>
      <c r="E18" s="17">
        <v>8</v>
      </c>
      <c r="F18" s="15">
        <f t="shared" si="0"/>
        <v>960000</v>
      </c>
      <c r="G18" s="15"/>
      <c r="H18" s="15">
        <f t="shared" si="1"/>
        <v>29</v>
      </c>
      <c r="I18" s="15">
        <f t="shared" si="2"/>
        <v>5</v>
      </c>
      <c r="J18" s="15">
        <f t="shared" si="3"/>
        <v>87000</v>
      </c>
      <c r="K18" s="15"/>
    </row>
    <row r="19" spans="1:11" x14ac:dyDescent="0.25">
      <c r="A19" s="15">
        <v>118</v>
      </c>
      <c r="B19" s="15" t="s">
        <v>233</v>
      </c>
      <c r="C19" s="15">
        <v>42000</v>
      </c>
      <c r="D19" s="17" t="s">
        <v>1538</v>
      </c>
      <c r="E19" s="17">
        <v>3</v>
      </c>
      <c r="F19" s="15">
        <f t="shared" si="0"/>
        <v>126000</v>
      </c>
      <c r="G19" s="15"/>
      <c r="H19" s="15">
        <f t="shared" si="1"/>
        <v>28</v>
      </c>
      <c r="I19" s="15">
        <f t="shared" si="2"/>
        <v>5</v>
      </c>
      <c r="J19" s="15">
        <f t="shared" si="3"/>
        <v>78000</v>
      </c>
      <c r="K19" s="15"/>
    </row>
    <row r="20" spans="1:11" x14ac:dyDescent="0.25">
      <c r="A20" s="15">
        <v>119</v>
      </c>
      <c r="B20" s="15" t="s">
        <v>1548</v>
      </c>
      <c r="C20" s="15">
        <v>68000</v>
      </c>
      <c r="D20" s="17" t="s">
        <v>1579</v>
      </c>
      <c r="E20" s="17">
        <v>5</v>
      </c>
      <c r="F20" s="15">
        <f t="shared" si="0"/>
        <v>340000</v>
      </c>
      <c r="G20" s="15"/>
      <c r="H20" s="15">
        <f t="shared" si="1"/>
        <v>27</v>
      </c>
      <c r="I20" s="15">
        <f t="shared" si="2"/>
        <v>5</v>
      </c>
      <c r="J20" s="15">
        <f t="shared" si="3"/>
        <v>81600</v>
      </c>
      <c r="K20" s="15"/>
    </row>
    <row r="21" spans="1:11" x14ac:dyDescent="0.25">
      <c r="A21" s="15">
        <v>120</v>
      </c>
      <c r="B21" s="15" t="s">
        <v>1549</v>
      </c>
      <c r="C21" s="15">
        <v>95000</v>
      </c>
      <c r="D21" s="17" t="s">
        <v>1527</v>
      </c>
      <c r="E21" s="17">
        <v>9</v>
      </c>
      <c r="F21" s="15">
        <f t="shared" si="0"/>
        <v>855000</v>
      </c>
      <c r="G21" s="15"/>
      <c r="H21" s="15">
        <f t="shared" si="1"/>
        <v>28</v>
      </c>
      <c r="I21" s="15">
        <f t="shared" si="2"/>
        <v>5</v>
      </c>
      <c r="J21" s="15">
        <f t="shared" si="3"/>
        <v>95000</v>
      </c>
      <c r="K21" s="15"/>
    </row>
    <row r="22" spans="1:11" x14ac:dyDescent="0.25">
      <c r="A22" s="15">
        <v>121</v>
      </c>
      <c r="B22" s="15" t="s">
        <v>1550</v>
      </c>
      <c r="C22" s="15">
        <v>110000</v>
      </c>
      <c r="D22" s="17" t="s">
        <v>1525</v>
      </c>
      <c r="E22" s="17">
        <v>4</v>
      </c>
      <c r="F22" s="15">
        <f t="shared" si="0"/>
        <v>440000</v>
      </c>
      <c r="G22" s="15"/>
      <c r="H22" s="15">
        <f t="shared" si="1"/>
        <v>24</v>
      </c>
      <c r="I22" s="15">
        <f t="shared" si="2"/>
        <v>5</v>
      </c>
      <c r="J22" s="15">
        <f t="shared" si="3"/>
        <v>93600</v>
      </c>
      <c r="K22" s="15"/>
    </row>
    <row r="23" spans="1:11" x14ac:dyDescent="0.25">
      <c r="A23" s="15">
        <v>122</v>
      </c>
      <c r="B23" s="15" t="s">
        <v>1551</v>
      </c>
      <c r="C23" s="15">
        <v>75000</v>
      </c>
      <c r="D23" s="17" t="s">
        <v>1580</v>
      </c>
      <c r="E23" s="17">
        <v>7</v>
      </c>
      <c r="F23" s="15">
        <f t="shared" si="0"/>
        <v>525000</v>
      </c>
      <c r="G23" s="15"/>
      <c r="H23" s="15">
        <f t="shared" si="1"/>
        <v>28</v>
      </c>
      <c r="I23" s="15">
        <f t="shared" si="2"/>
        <v>5</v>
      </c>
      <c r="J23" s="15">
        <f t="shared" si="3"/>
        <v>82000</v>
      </c>
      <c r="K23" s="15"/>
    </row>
    <row r="24" spans="1:11" x14ac:dyDescent="0.25">
      <c r="A24" s="15">
        <v>123</v>
      </c>
      <c r="B24" s="15" t="s">
        <v>1438</v>
      </c>
      <c r="C24" s="15">
        <v>60000</v>
      </c>
      <c r="D24" s="17" t="s">
        <v>1523</v>
      </c>
      <c r="E24" s="17">
        <v>2</v>
      </c>
      <c r="F24" s="15">
        <f t="shared" si="0"/>
        <v>120000</v>
      </c>
      <c r="G24" s="15"/>
      <c r="H24" s="15">
        <f t="shared" si="1"/>
        <v>24</v>
      </c>
      <c r="I24" s="15">
        <f t="shared" si="2"/>
        <v>5</v>
      </c>
      <c r="J24" s="15">
        <f t="shared" si="3"/>
        <v>97000</v>
      </c>
      <c r="K24" s="15"/>
    </row>
    <row r="25" spans="1:11" x14ac:dyDescent="0.25">
      <c r="A25" s="15">
        <v>124</v>
      </c>
      <c r="B25" s="15" t="s">
        <v>1435</v>
      </c>
      <c r="C25" s="15">
        <v>135000</v>
      </c>
      <c r="D25" s="17" t="s">
        <v>1530</v>
      </c>
      <c r="E25" s="17">
        <v>6</v>
      </c>
      <c r="F25" s="15">
        <f t="shared" si="0"/>
        <v>810000</v>
      </c>
      <c r="G25" s="15"/>
      <c r="H25" s="15">
        <f t="shared" si="1"/>
        <v>26</v>
      </c>
      <c r="I25" s="15">
        <f t="shared" si="2"/>
        <v>5</v>
      </c>
      <c r="J25" s="15">
        <f t="shared" si="3"/>
        <v>98000</v>
      </c>
      <c r="K25" s="15"/>
    </row>
    <row r="26" spans="1:11" x14ac:dyDescent="0.25">
      <c r="A26" s="15">
        <v>125</v>
      </c>
      <c r="B26" s="15" t="s">
        <v>1443</v>
      </c>
      <c r="C26" s="15">
        <v>88000</v>
      </c>
      <c r="D26" s="17" t="s">
        <v>1535</v>
      </c>
      <c r="E26" s="17">
        <v>5</v>
      </c>
      <c r="F26" s="15">
        <f t="shared" si="0"/>
        <v>440000</v>
      </c>
      <c r="G26" s="15"/>
      <c r="H26" s="15">
        <f t="shared" si="1"/>
        <v>27</v>
      </c>
      <c r="I26" s="15">
        <f t="shared" si="2"/>
        <v>5</v>
      </c>
      <c r="J26" s="15">
        <f t="shared" si="3"/>
        <v>86600</v>
      </c>
      <c r="K26" s="15"/>
    </row>
    <row r="27" spans="1:11" x14ac:dyDescent="0.25">
      <c r="A27" s="15">
        <v>126</v>
      </c>
      <c r="B27" s="15" t="s">
        <v>1436</v>
      </c>
      <c r="C27" s="15">
        <v>52000</v>
      </c>
      <c r="D27" s="17" t="s">
        <v>295</v>
      </c>
      <c r="E27" s="17">
        <v>8</v>
      </c>
      <c r="F27" s="15">
        <f t="shared" si="0"/>
        <v>416000</v>
      </c>
      <c r="G27" s="15"/>
      <c r="H27" s="15">
        <f t="shared" si="1"/>
        <v>28</v>
      </c>
      <c r="I27" s="15">
        <f t="shared" si="2"/>
        <v>5</v>
      </c>
      <c r="J27" s="15">
        <f t="shared" si="3"/>
        <v>90000</v>
      </c>
      <c r="K27" s="15"/>
    </row>
    <row r="28" spans="1:11" x14ac:dyDescent="0.25">
      <c r="A28" s="15">
        <v>127</v>
      </c>
      <c r="B28" s="15" t="s">
        <v>1421</v>
      </c>
      <c r="C28" s="15">
        <v>150000</v>
      </c>
      <c r="D28" s="17" t="s">
        <v>1578</v>
      </c>
      <c r="E28" s="17">
        <v>3</v>
      </c>
      <c r="F28" s="15">
        <f t="shared" si="0"/>
        <v>450000</v>
      </c>
      <c r="G28" s="15"/>
      <c r="H28" s="15">
        <f t="shared" si="1"/>
        <v>22</v>
      </c>
      <c r="I28" s="15">
        <f t="shared" si="2"/>
        <v>5</v>
      </c>
      <c r="J28" s="15">
        <f t="shared" si="3"/>
        <v>89200</v>
      </c>
      <c r="K28" s="15"/>
    </row>
    <row r="29" spans="1:11" x14ac:dyDescent="0.25">
      <c r="A29" s="15">
        <v>128</v>
      </c>
      <c r="B29" s="15" t="s">
        <v>1450</v>
      </c>
      <c r="C29" s="15">
        <v>65000</v>
      </c>
      <c r="D29" s="17" t="s">
        <v>1538</v>
      </c>
      <c r="E29" s="17">
        <v>4</v>
      </c>
      <c r="F29" s="15">
        <f t="shared" si="0"/>
        <v>260000</v>
      </c>
      <c r="G29" s="15"/>
      <c r="H29" s="15">
        <f t="shared" si="1"/>
        <v>28</v>
      </c>
      <c r="I29" s="15">
        <f t="shared" si="2"/>
        <v>5</v>
      </c>
      <c r="J29" s="15">
        <f t="shared" si="3"/>
        <v>77600</v>
      </c>
      <c r="K29" s="15"/>
    </row>
    <row r="30" spans="1:11" x14ac:dyDescent="0.25">
      <c r="A30" s="15">
        <v>129</v>
      </c>
      <c r="B30" s="15" t="s">
        <v>1552</v>
      </c>
      <c r="C30" s="15">
        <v>78000</v>
      </c>
      <c r="D30" s="17" t="s">
        <v>1532</v>
      </c>
      <c r="E30" s="17">
        <v>7</v>
      </c>
      <c r="F30" s="15">
        <f t="shared" si="0"/>
        <v>546000</v>
      </c>
      <c r="G30" s="15"/>
      <c r="H30" s="15">
        <f t="shared" si="1"/>
        <v>29</v>
      </c>
      <c r="I30" s="15">
        <f t="shared" si="2"/>
        <v>5</v>
      </c>
      <c r="J30" s="15">
        <f t="shared" si="3"/>
        <v>89600</v>
      </c>
      <c r="K30" s="15"/>
    </row>
    <row r="31" spans="1:11" x14ac:dyDescent="0.25">
      <c r="A31" s="15">
        <v>130</v>
      </c>
      <c r="B31" s="15" t="s">
        <v>1446</v>
      </c>
      <c r="C31" s="15">
        <v>105000</v>
      </c>
      <c r="D31" s="17" t="s">
        <v>1579</v>
      </c>
      <c r="E31" s="17">
        <v>6</v>
      </c>
      <c r="F31" s="15">
        <f t="shared" si="0"/>
        <v>630000</v>
      </c>
      <c r="G31" s="15"/>
      <c r="H31" s="15">
        <f t="shared" si="1"/>
        <v>26</v>
      </c>
      <c r="I31" s="15">
        <f t="shared" si="2"/>
        <v>5</v>
      </c>
      <c r="J31" s="15">
        <f t="shared" si="3"/>
        <v>83000</v>
      </c>
      <c r="K31" s="15"/>
    </row>
    <row r="32" spans="1:11" x14ac:dyDescent="0.25">
      <c r="A32" s="15">
        <v>131</v>
      </c>
      <c r="B32" s="15" t="s">
        <v>1553</v>
      </c>
      <c r="C32" s="15">
        <v>48000</v>
      </c>
      <c r="D32" s="17" t="s">
        <v>1527</v>
      </c>
      <c r="E32" s="17">
        <v>2</v>
      </c>
      <c r="F32" s="15">
        <f t="shared" si="0"/>
        <v>96000</v>
      </c>
      <c r="G32" s="15"/>
      <c r="H32" s="15">
        <f t="shared" si="1"/>
        <v>28</v>
      </c>
      <c r="I32" s="15">
        <f t="shared" si="2"/>
        <v>5</v>
      </c>
      <c r="J32" s="15">
        <f t="shared" si="3"/>
        <v>73000</v>
      </c>
      <c r="K32" s="15"/>
    </row>
    <row r="33" spans="1:11" x14ac:dyDescent="0.25">
      <c r="A33" s="15">
        <v>132</v>
      </c>
      <c r="B33" s="15" t="s">
        <v>1434</v>
      </c>
      <c r="C33" s="15">
        <v>92000</v>
      </c>
      <c r="D33" s="17" t="s">
        <v>1525</v>
      </c>
      <c r="E33" s="17">
        <v>9</v>
      </c>
      <c r="F33" s="15">
        <f t="shared" si="0"/>
        <v>828000</v>
      </c>
      <c r="G33" s="15"/>
      <c r="H33" s="15">
        <f t="shared" si="1"/>
        <v>32</v>
      </c>
      <c r="I33" s="15">
        <f t="shared" si="2"/>
        <v>5</v>
      </c>
      <c r="J33" s="15">
        <f t="shared" si="3"/>
        <v>80400</v>
      </c>
      <c r="K33" s="15"/>
    </row>
    <row r="34" spans="1:11" x14ac:dyDescent="0.25">
      <c r="A34" s="15">
        <v>133</v>
      </c>
      <c r="B34" s="15" t="s">
        <v>1554</v>
      </c>
      <c r="C34" s="15">
        <v>125000</v>
      </c>
      <c r="D34" s="17" t="s">
        <v>1580</v>
      </c>
      <c r="E34" s="17">
        <v>5</v>
      </c>
      <c r="F34" s="15">
        <f t="shared" si="0"/>
        <v>625000</v>
      </c>
      <c r="G34" s="15"/>
      <c r="H34" s="15">
        <f t="shared" si="1"/>
        <v>26</v>
      </c>
      <c r="I34" s="15">
        <f t="shared" si="2"/>
        <v>5</v>
      </c>
      <c r="J34" s="15">
        <f t="shared" si="3"/>
        <v>86000</v>
      </c>
      <c r="K34" s="15"/>
    </row>
    <row r="35" spans="1:11" x14ac:dyDescent="0.25">
      <c r="A35" s="15">
        <v>134</v>
      </c>
      <c r="B35" s="15" t="s">
        <v>1432</v>
      </c>
      <c r="C35" s="15">
        <v>45000</v>
      </c>
      <c r="D35" s="17" t="s">
        <v>1523</v>
      </c>
      <c r="E35" s="17">
        <v>4</v>
      </c>
      <c r="F35" s="15">
        <f t="shared" si="0"/>
        <v>180000</v>
      </c>
      <c r="G35" s="15"/>
      <c r="H35" s="15">
        <f t="shared" si="1"/>
        <v>28</v>
      </c>
      <c r="I35" s="15">
        <f t="shared" si="2"/>
        <v>5</v>
      </c>
      <c r="J35" s="15">
        <f t="shared" si="3"/>
        <v>69400</v>
      </c>
      <c r="K35" s="15"/>
    </row>
    <row r="36" spans="1:11" x14ac:dyDescent="0.25">
      <c r="A36" s="15">
        <v>135</v>
      </c>
      <c r="B36" s="15" t="s">
        <v>1317</v>
      </c>
      <c r="C36" s="15">
        <v>55000</v>
      </c>
      <c r="D36" s="17" t="s">
        <v>1530</v>
      </c>
      <c r="E36" s="17">
        <v>8</v>
      </c>
      <c r="F36" s="15">
        <f t="shared" si="0"/>
        <v>440000</v>
      </c>
      <c r="G36" s="15"/>
      <c r="H36" s="15">
        <f t="shared" si="1"/>
        <v>29</v>
      </c>
      <c r="I36" s="15">
        <f t="shared" si="2"/>
        <v>5</v>
      </c>
      <c r="J36" s="15">
        <f t="shared" si="3"/>
        <v>74000</v>
      </c>
      <c r="K36" s="15"/>
    </row>
    <row r="37" spans="1:11" x14ac:dyDescent="0.25">
      <c r="A37" s="15">
        <v>136</v>
      </c>
      <c r="B37" s="15" t="s">
        <v>230</v>
      </c>
      <c r="C37" s="15">
        <v>85000</v>
      </c>
      <c r="D37" s="17" t="s">
        <v>1535</v>
      </c>
      <c r="E37" s="17">
        <v>6</v>
      </c>
      <c r="F37" s="15">
        <f t="shared" si="0"/>
        <v>510000</v>
      </c>
      <c r="G37" s="15"/>
      <c r="H37" s="15">
        <f t="shared" si="1"/>
        <v>23</v>
      </c>
      <c r="I37" s="15">
        <f t="shared" si="2"/>
        <v>5</v>
      </c>
      <c r="J37" s="15">
        <f t="shared" si="3"/>
        <v>82000</v>
      </c>
      <c r="K37" s="15"/>
    </row>
    <row r="38" spans="1:11" x14ac:dyDescent="0.25">
      <c r="A38" s="15">
        <v>137</v>
      </c>
      <c r="B38" s="15" t="s">
        <v>232</v>
      </c>
      <c r="C38" s="15">
        <v>120000</v>
      </c>
      <c r="D38" s="17" t="s">
        <v>1538</v>
      </c>
      <c r="E38" s="17">
        <v>3</v>
      </c>
      <c r="F38" s="15">
        <f t="shared" si="0"/>
        <v>360000</v>
      </c>
      <c r="G38" s="15"/>
      <c r="H38" s="15">
        <f t="shared" si="1"/>
        <v>23</v>
      </c>
      <c r="I38" s="15">
        <f t="shared" si="2"/>
        <v>5</v>
      </c>
      <c r="J38" s="15">
        <f t="shared" si="3"/>
        <v>87000</v>
      </c>
      <c r="K38" s="15"/>
    </row>
    <row r="39" spans="1:11" x14ac:dyDescent="0.25">
      <c r="A39" s="15">
        <v>138</v>
      </c>
      <c r="B39" s="15" t="s">
        <v>1555</v>
      </c>
      <c r="C39" s="15">
        <v>42000</v>
      </c>
      <c r="D39" s="17" t="s">
        <v>1528</v>
      </c>
      <c r="E39" s="17">
        <v>7</v>
      </c>
      <c r="F39" s="15">
        <f t="shared" si="0"/>
        <v>294000</v>
      </c>
      <c r="G39" s="15"/>
      <c r="H39" s="15">
        <f t="shared" si="1"/>
        <v>24</v>
      </c>
      <c r="I39" s="15">
        <f t="shared" si="2"/>
        <v>5</v>
      </c>
      <c r="J39" s="15">
        <f t="shared" si="3"/>
        <v>78000</v>
      </c>
      <c r="K39" s="15"/>
    </row>
    <row r="40" spans="1:11" x14ac:dyDescent="0.25">
      <c r="A40" s="15">
        <v>139</v>
      </c>
      <c r="B40" s="15" t="s">
        <v>1278</v>
      </c>
      <c r="C40" s="15">
        <v>68000</v>
      </c>
      <c r="D40" s="17" t="s">
        <v>1578</v>
      </c>
      <c r="E40" s="17">
        <v>5</v>
      </c>
      <c r="F40" s="15">
        <f t="shared" si="0"/>
        <v>340000</v>
      </c>
      <c r="G40" s="15"/>
      <c r="H40" s="15">
        <f t="shared" si="1"/>
        <v>26</v>
      </c>
      <c r="I40" s="15">
        <f t="shared" si="2"/>
        <v>5</v>
      </c>
      <c r="J40" s="15">
        <f t="shared" si="3"/>
        <v>81600</v>
      </c>
      <c r="K40" s="15"/>
    </row>
    <row r="41" spans="1:11" x14ac:dyDescent="0.25">
      <c r="A41" s="15">
        <v>140</v>
      </c>
      <c r="B41" s="15" t="s">
        <v>1556</v>
      </c>
      <c r="C41" s="15">
        <v>95000</v>
      </c>
      <c r="D41" s="17" t="s">
        <v>1532</v>
      </c>
      <c r="E41" s="17">
        <v>2</v>
      </c>
      <c r="F41" s="15">
        <f t="shared" si="0"/>
        <v>190000</v>
      </c>
      <c r="G41" s="15"/>
      <c r="H41" s="15">
        <f t="shared" si="1"/>
        <v>28</v>
      </c>
      <c r="I41" s="15">
        <f t="shared" si="2"/>
        <v>5</v>
      </c>
      <c r="J41" s="15">
        <f t="shared" si="3"/>
        <v>95000</v>
      </c>
      <c r="K41" s="15"/>
    </row>
    <row r="42" spans="1:11" x14ac:dyDescent="0.25">
      <c r="A42" s="15">
        <v>141</v>
      </c>
      <c r="B42" s="15" t="s">
        <v>1275</v>
      </c>
      <c r="C42" s="15">
        <v>110000</v>
      </c>
      <c r="D42" s="17" t="s">
        <v>1579</v>
      </c>
      <c r="E42" s="17">
        <v>6</v>
      </c>
      <c r="F42" s="15">
        <f t="shared" si="0"/>
        <v>660000</v>
      </c>
      <c r="G42" s="15"/>
      <c r="H42" s="15">
        <f t="shared" si="1"/>
        <v>29</v>
      </c>
      <c r="I42" s="15">
        <f t="shared" si="2"/>
        <v>5</v>
      </c>
      <c r="J42" s="15">
        <f t="shared" si="3"/>
        <v>93600</v>
      </c>
      <c r="K42" s="15"/>
    </row>
    <row r="43" spans="1:11" x14ac:dyDescent="0.25">
      <c r="A43" s="15">
        <v>142</v>
      </c>
      <c r="B43" s="15" t="s">
        <v>1312</v>
      </c>
      <c r="C43" s="15">
        <v>75000</v>
      </c>
      <c r="D43" s="17" t="s">
        <v>1527</v>
      </c>
      <c r="E43" s="17">
        <v>4</v>
      </c>
      <c r="F43" s="15">
        <f t="shared" si="0"/>
        <v>300000</v>
      </c>
      <c r="G43" s="15"/>
      <c r="H43" s="15">
        <f t="shared" si="1"/>
        <v>28</v>
      </c>
      <c r="I43" s="15">
        <f t="shared" si="2"/>
        <v>5</v>
      </c>
      <c r="J43" s="15">
        <f t="shared" si="3"/>
        <v>82000</v>
      </c>
      <c r="K43" s="15"/>
    </row>
    <row r="44" spans="1:11" x14ac:dyDescent="0.25">
      <c r="A44" s="15">
        <v>143</v>
      </c>
      <c r="B44" s="15" t="s">
        <v>1557</v>
      </c>
      <c r="C44" s="15">
        <v>60000</v>
      </c>
      <c r="D44" s="17" t="s">
        <v>1525</v>
      </c>
      <c r="E44" s="17">
        <v>9</v>
      </c>
      <c r="F44" s="15">
        <f t="shared" si="0"/>
        <v>540000</v>
      </c>
      <c r="G44" s="15"/>
      <c r="H44" s="15">
        <f t="shared" si="1"/>
        <v>32</v>
      </c>
      <c r="I44" s="15">
        <f t="shared" si="2"/>
        <v>5</v>
      </c>
      <c r="J44" s="15">
        <f t="shared" si="3"/>
        <v>97000</v>
      </c>
      <c r="K44" s="15"/>
    </row>
    <row r="45" spans="1:11" x14ac:dyDescent="0.25">
      <c r="A45" s="15">
        <v>144</v>
      </c>
      <c r="B45" s="15" t="s">
        <v>1415</v>
      </c>
      <c r="C45" s="15">
        <v>135000</v>
      </c>
      <c r="D45" s="17" t="s">
        <v>1530</v>
      </c>
      <c r="E45" s="17">
        <v>7</v>
      </c>
      <c r="F45" s="15">
        <f t="shared" si="0"/>
        <v>945000</v>
      </c>
      <c r="G45" s="15"/>
      <c r="H45" s="15">
        <f t="shared" si="1"/>
        <v>27</v>
      </c>
      <c r="I45" s="15">
        <f t="shared" si="2"/>
        <v>5</v>
      </c>
      <c r="J45" s="15">
        <f t="shared" si="3"/>
        <v>98000</v>
      </c>
      <c r="K45" s="15"/>
    </row>
    <row r="46" spans="1:11" x14ac:dyDescent="0.25">
      <c r="A46" s="15">
        <v>145</v>
      </c>
      <c r="B46" s="15" t="s">
        <v>1250</v>
      </c>
      <c r="C46" s="15">
        <v>88000</v>
      </c>
      <c r="D46" s="17" t="s">
        <v>1580</v>
      </c>
      <c r="E46" s="17">
        <v>3</v>
      </c>
      <c r="F46" s="15">
        <f t="shared" si="0"/>
        <v>264000</v>
      </c>
      <c r="G46" s="15"/>
      <c r="H46" s="15">
        <f t="shared" si="1"/>
        <v>26</v>
      </c>
      <c r="I46" s="15">
        <f t="shared" si="2"/>
        <v>5</v>
      </c>
      <c r="J46" s="15">
        <f t="shared" si="3"/>
        <v>86600</v>
      </c>
      <c r="K46" s="15"/>
    </row>
    <row r="47" spans="1:11" x14ac:dyDescent="0.25">
      <c r="A47" s="15">
        <v>146</v>
      </c>
      <c r="B47" s="15" t="s">
        <v>224</v>
      </c>
      <c r="C47" s="15">
        <v>52000</v>
      </c>
      <c r="D47" s="17" t="s">
        <v>1523</v>
      </c>
      <c r="E47" s="17">
        <v>5</v>
      </c>
      <c r="F47" s="15">
        <f t="shared" si="0"/>
        <v>260000</v>
      </c>
      <c r="G47" s="15"/>
      <c r="H47" s="15">
        <f t="shared" si="1"/>
        <v>25</v>
      </c>
      <c r="I47" s="15">
        <f t="shared" si="2"/>
        <v>5</v>
      </c>
      <c r="J47" s="15">
        <f t="shared" si="3"/>
        <v>90000</v>
      </c>
      <c r="K47" s="15"/>
    </row>
    <row r="48" spans="1:11" x14ac:dyDescent="0.25">
      <c r="A48" s="15">
        <v>147</v>
      </c>
      <c r="B48" s="15" t="s">
        <v>225</v>
      </c>
      <c r="C48" s="15">
        <v>150000</v>
      </c>
      <c r="D48" s="17" t="s">
        <v>1535</v>
      </c>
      <c r="E48" s="17">
        <v>8</v>
      </c>
      <c r="F48" s="15">
        <f t="shared" si="0"/>
        <v>1200000</v>
      </c>
      <c r="G48" s="15"/>
      <c r="H48" s="15">
        <f t="shared" si="1"/>
        <v>27</v>
      </c>
      <c r="I48" s="15">
        <f t="shared" si="2"/>
        <v>5</v>
      </c>
      <c r="J48" s="15">
        <f t="shared" si="3"/>
        <v>89200</v>
      </c>
      <c r="K48" s="15"/>
    </row>
    <row r="49" spans="1:11" x14ac:dyDescent="0.25">
      <c r="A49" s="15">
        <v>148</v>
      </c>
      <c r="B49" s="15" t="s">
        <v>223</v>
      </c>
      <c r="C49" s="15">
        <v>65000</v>
      </c>
      <c r="D49" s="17" t="s">
        <v>1538</v>
      </c>
      <c r="E49" s="17">
        <v>4</v>
      </c>
      <c r="F49" s="15">
        <f t="shared" si="0"/>
        <v>260000</v>
      </c>
      <c r="G49" s="15"/>
      <c r="H49" s="15">
        <f t="shared" si="1"/>
        <v>24</v>
      </c>
      <c r="I49" s="15">
        <f t="shared" si="2"/>
        <v>5</v>
      </c>
      <c r="J49" s="15">
        <f t="shared" si="3"/>
        <v>77600</v>
      </c>
      <c r="K49" s="15"/>
    </row>
    <row r="50" spans="1:11" x14ac:dyDescent="0.25">
      <c r="A50" s="15">
        <v>149</v>
      </c>
      <c r="B50" s="15" t="s">
        <v>234</v>
      </c>
      <c r="C50" s="15">
        <v>78000</v>
      </c>
      <c r="D50" s="17" t="s">
        <v>295</v>
      </c>
      <c r="E50" s="17">
        <v>6</v>
      </c>
      <c r="F50" s="15">
        <f t="shared" si="0"/>
        <v>468000</v>
      </c>
      <c r="G50" s="15"/>
      <c r="H50" s="15">
        <f t="shared" si="1"/>
        <v>29</v>
      </c>
      <c r="I50" s="15">
        <f t="shared" si="2"/>
        <v>5</v>
      </c>
      <c r="J50" s="15">
        <f t="shared" si="3"/>
        <v>89600</v>
      </c>
      <c r="K50" s="15"/>
    </row>
    <row r="51" spans="1:11" x14ac:dyDescent="0.25">
      <c r="A51" s="15">
        <v>150</v>
      </c>
      <c r="B51" s="15" t="s">
        <v>1558</v>
      </c>
      <c r="C51" s="15">
        <v>105000</v>
      </c>
      <c r="D51" s="17" t="s">
        <v>1579</v>
      </c>
      <c r="E51" s="17">
        <v>2</v>
      </c>
      <c r="F51" s="15">
        <f t="shared" si="0"/>
        <v>210000</v>
      </c>
      <c r="G51" s="15"/>
      <c r="H51" s="15">
        <f t="shared" si="1"/>
        <v>26</v>
      </c>
      <c r="I51" s="15">
        <f t="shared" si="2"/>
        <v>5</v>
      </c>
      <c r="J51" s="15">
        <f t="shared" si="3"/>
        <v>83000</v>
      </c>
      <c r="K51" s="15"/>
    </row>
    <row r="52" spans="1:11" x14ac:dyDescent="0.25">
      <c r="A52" s="15">
        <v>151</v>
      </c>
      <c r="B52" s="15" t="s">
        <v>1333</v>
      </c>
      <c r="C52" s="15">
        <v>48000</v>
      </c>
      <c r="D52" s="17" t="s">
        <v>1527</v>
      </c>
      <c r="E52" s="17">
        <v>7</v>
      </c>
      <c r="F52" s="15">
        <f t="shared" si="0"/>
        <v>336000</v>
      </c>
      <c r="G52" s="15"/>
      <c r="H52" s="15">
        <f t="shared" si="1"/>
        <v>30</v>
      </c>
      <c r="I52" s="15">
        <f t="shared" si="2"/>
        <v>5</v>
      </c>
      <c r="J52" s="15">
        <f t="shared" si="3"/>
        <v>73000</v>
      </c>
      <c r="K52" s="15"/>
    </row>
    <row r="53" spans="1:11" x14ac:dyDescent="0.25">
      <c r="A53" s="15">
        <v>152</v>
      </c>
      <c r="B53" s="15" t="s">
        <v>1559</v>
      </c>
      <c r="C53" s="15">
        <v>92000</v>
      </c>
      <c r="D53" s="17" t="s">
        <v>1525</v>
      </c>
      <c r="E53" s="17">
        <v>5</v>
      </c>
      <c r="F53" s="15">
        <f t="shared" si="0"/>
        <v>460000</v>
      </c>
      <c r="G53" s="15"/>
      <c r="H53" s="15">
        <f t="shared" si="1"/>
        <v>27</v>
      </c>
      <c r="I53" s="15">
        <f t="shared" si="2"/>
        <v>5</v>
      </c>
      <c r="J53" s="15">
        <f t="shared" si="3"/>
        <v>80400</v>
      </c>
      <c r="K53" s="15"/>
    </row>
    <row r="54" spans="1:11" x14ac:dyDescent="0.25">
      <c r="A54" s="15">
        <v>153</v>
      </c>
      <c r="B54" s="15" t="s">
        <v>1560</v>
      </c>
      <c r="C54" s="15">
        <v>125000</v>
      </c>
      <c r="D54" s="17" t="s">
        <v>1578</v>
      </c>
      <c r="E54" s="17">
        <v>9</v>
      </c>
      <c r="F54" s="15">
        <f t="shared" si="0"/>
        <v>1125000</v>
      </c>
      <c r="G54" s="15"/>
      <c r="H54" s="15">
        <f t="shared" si="1"/>
        <v>30</v>
      </c>
      <c r="I54" s="15">
        <f t="shared" si="2"/>
        <v>5</v>
      </c>
      <c r="J54" s="15">
        <f t="shared" si="3"/>
        <v>86000</v>
      </c>
      <c r="K54" s="15"/>
    </row>
    <row r="55" spans="1:11" x14ac:dyDescent="0.25">
      <c r="A55" s="15">
        <v>154</v>
      </c>
      <c r="B55" s="15" t="s">
        <v>1273</v>
      </c>
      <c r="C55" s="15">
        <v>45000</v>
      </c>
      <c r="D55" s="17" t="s">
        <v>1532</v>
      </c>
      <c r="E55" s="17">
        <v>3</v>
      </c>
      <c r="F55" s="15">
        <f t="shared" si="0"/>
        <v>135000</v>
      </c>
      <c r="G55" s="15"/>
      <c r="H55" s="15">
        <f t="shared" si="1"/>
        <v>26</v>
      </c>
      <c r="I55" s="15">
        <f t="shared" si="2"/>
        <v>5</v>
      </c>
      <c r="J55" s="15">
        <f t="shared" si="3"/>
        <v>69400</v>
      </c>
      <c r="K55" s="15"/>
    </row>
    <row r="56" spans="1:11" x14ac:dyDescent="0.25">
      <c r="A56" s="15">
        <v>155</v>
      </c>
      <c r="B56" s="15" t="s">
        <v>1561</v>
      </c>
      <c r="C56" s="15">
        <v>55000</v>
      </c>
      <c r="D56" s="17" t="s">
        <v>1530</v>
      </c>
      <c r="E56" s="17">
        <v>6</v>
      </c>
      <c r="F56" s="15">
        <f t="shared" si="0"/>
        <v>330000</v>
      </c>
      <c r="G56" s="15"/>
      <c r="H56" s="15">
        <f t="shared" si="1"/>
        <v>25</v>
      </c>
      <c r="I56" s="15">
        <f t="shared" si="2"/>
        <v>5</v>
      </c>
      <c r="J56" s="15">
        <f t="shared" si="3"/>
        <v>74000</v>
      </c>
      <c r="K56" s="15"/>
    </row>
    <row r="57" spans="1:11" x14ac:dyDescent="0.25">
      <c r="A57" s="15">
        <v>156</v>
      </c>
      <c r="B57" s="15" t="s">
        <v>1354</v>
      </c>
      <c r="C57" s="15">
        <v>85000</v>
      </c>
      <c r="D57" s="17" t="s">
        <v>1535</v>
      </c>
      <c r="E57" s="17">
        <v>4</v>
      </c>
      <c r="F57" s="15">
        <f t="shared" si="0"/>
        <v>340000</v>
      </c>
      <c r="G57" s="15"/>
      <c r="H57" s="15">
        <f t="shared" si="1"/>
        <v>26</v>
      </c>
      <c r="I57" s="15">
        <f t="shared" si="2"/>
        <v>5</v>
      </c>
      <c r="J57" s="15">
        <f t="shared" si="3"/>
        <v>82000</v>
      </c>
      <c r="K57" s="15"/>
    </row>
    <row r="58" spans="1:11" x14ac:dyDescent="0.25">
      <c r="A58" s="15">
        <v>157</v>
      </c>
      <c r="B58" s="15" t="s">
        <v>1232</v>
      </c>
      <c r="C58" s="15">
        <v>120000</v>
      </c>
      <c r="D58" s="17" t="s">
        <v>1538</v>
      </c>
      <c r="E58" s="17">
        <v>8</v>
      </c>
      <c r="F58" s="15">
        <f t="shared" si="0"/>
        <v>960000</v>
      </c>
      <c r="G58" s="15"/>
      <c r="H58" s="15">
        <f t="shared" si="1"/>
        <v>28</v>
      </c>
      <c r="I58" s="15">
        <f t="shared" si="2"/>
        <v>5</v>
      </c>
      <c r="J58" s="15">
        <f t="shared" si="3"/>
        <v>87000</v>
      </c>
      <c r="K58" s="15"/>
    </row>
    <row r="59" spans="1:11" x14ac:dyDescent="0.25">
      <c r="A59" s="15">
        <v>158</v>
      </c>
      <c r="B59" s="15" t="s">
        <v>1231</v>
      </c>
      <c r="C59" s="15">
        <v>42000</v>
      </c>
      <c r="D59" s="17" t="s">
        <v>1523</v>
      </c>
      <c r="E59" s="17">
        <v>5</v>
      </c>
      <c r="F59" s="15">
        <f t="shared" si="0"/>
        <v>210000</v>
      </c>
      <c r="G59" s="15"/>
      <c r="H59" s="15">
        <f t="shared" si="1"/>
        <v>23</v>
      </c>
      <c r="I59" s="15">
        <f t="shared" si="2"/>
        <v>5</v>
      </c>
      <c r="J59" s="15">
        <f t="shared" si="3"/>
        <v>78000</v>
      </c>
      <c r="K59" s="15"/>
    </row>
    <row r="60" spans="1:11" x14ac:dyDescent="0.25">
      <c r="A60" s="15">
        <v>159</v>
      </c>
      <c r="B60" s="15" t="s">
        <v>1298</v>
      </c>
      <c r="C60" s="15">
        <v>68000</v>
      </c>
      <c r="D60" s="17" t="s">
        <v>1580</v>
      </c>
      <c r="E60" s="17">
        <v>2</v>
      </c>
      <c r="F60" s="15">
        <f t="shared" si="0"/>
        <v>136000</v>
      </c>
      <c r="G60" s="15"/>
      <c r="H60" s="15">
        <f t="shared" si="1"/>
        <v>27</v>
      </c>
      <c r="I60" s="15">
        <f t="shared" si="2"/>
        <v>5</v>
      </c>
      <c r="J60" s="15">
        <f t="shared" si="3"/>
        <v>81600</v>
      </c>
      <c r="K60" s="15"/>
    </row>
    <row r="61" spans="1:11" x14ac:dyDescent="0.25">
      <c r="A61" s="15">
        <v>160</v>
      </c>
      <c r="B61" s="15" t="s">
        <v>1305</v>
      </c>
      <c r="C61" s="15">
        <v>95000</v>
      </c>
      <c r="D61" s="17" t="s">
        <v>1528</v>
      </c>
      <c r="E61" s="17">
        <v>7</v>
      </c>
      <c r="F61" s="15">
        <f t="shared" si="0"/>
        <v>665000</v>
      </c>
      <c r="G61" s="15"/>
      <c r="H61" s="15">
        <f t="shared" si="1"/>
        <v>29</v>
      </c>
      <c r="I61" s="15">
        <f t="shared" si="2"/>
        <v>5</v>
      </c>
      <c r="J61" s="15">
        <f t="shared" si="3"/>
        <v>95000</v>
      </c>
      <c r="K61" s="15"/>
    </row>
    <row r="62" spans="1:11" x14ac:dyDescent="0.25">
      <c r="A62" s="15">
        <v>161</v>
      </c>
      <c r="B62" s="15" t="s">
        <v>1220</v>
      </c>
      <c r="C62" s="15">
        <v>110000</v>
      </c>
      <c r="D62" s="17" t="s">
        <v>1579</v>
      </c>
      <c r="E62" s="17">
        <v>6</v>
      </c>
      <c r="F62" s="15">
        <f t="shared" si="0"/>
        <v>660000</v>
      </c>
      <c r="G62" s="15"/>
      <c r="H62" s="15">
        <f t="shared" si="1"/>
        <v>27</v>
      </c>
      <c r="I62" s="15">
        <f t="shared" si="2"/>
        <v>5</v>
      </c>
      <c r="J62" s="15">
        <f t="shared" si="3"/>
        <v>93600</v>
      </c>
      <c r="K62" s="15"/>
    </row>
    <row r="63" spans="1:11" x14ac:dyDescent="0.25">
      <c r="A63" s="15">
        <v>162</v>
      </c>
      <c r="B63" s="15" t="s">
        <v>1422</v>
      </c>
      <c r="C63" s="15">
        <v>75000</v>
      </c>
      <c r="D63" s="17" t="s">
        <v>1527</v>
      </c>
      <c r="E63" s="17">
        <v>3</v>
      </c>
      <c r="F63" s="15">
        <f t="shared" si="0"/>
        <v>225000</v>
      </c>
      <c r="G63" s="15"/>
      <c r="H63" s="15">
        <f t="shared" si="1"/>
        <v>29</v>
      </c>
      <c r="I63" s="15">
        <f t="shared" si="2"/>
        <v>5</v>
      </c>
      <c r="J63" s="15">
        <f t="shared" si="3"/>
        <v>82000</v>
      </c>
      <c r="K63" s="15"/>
    </row>
    <row r="64" spans="1:11" x14ac:dyDescent="0.25">
      <c r="A64" s="15">
        <v>163</v>
      </c>
      <c r="B64" s="15" t="s">
        <v>1414</v>
      </c>
      <c r="C64" s="15">
        <v>60000</v>
      </c>
      <c r="D64" s="17" t="s">
        <v>1525</v>
      </c>
      <c r="E64" s="17">
        <v>9</v>
      </c>
      <c r="F64" s="15">
        <f t="shared" si="0"/>
        <v>540000</v>
      </c>
      <c r="G64" s="15"/>
      <c r="H64" s="15">
        <f t="shared" si="1"/>
        <v>32</v>
      </c>
      <c r="I64" s="15">
        <f t="shared" si="2"/>
        <v>5</v>
      </c>
      <c r="J64" s="15">
        <f t="shared" si="3"/>
        <v>97000</v>
      </c>
      <c r="K64" s="15"/>
    </row>
    <row r="65" spans="1:11" x14ac:dyDescent="0.25">
      <c r="A65" s="15">
        <v>164</v>
      </c>
      <c r="B65" s="15" t="s">
        <v>1562</v>
      </c>
      <c r="C65" s="15">
        <v>135000</v>
      </c>
      <c r="D65" s="17" t="s">
        <v>1578</v>
      </c>
      <c r="E65" s="17">
        <v>4</v>
      </c>
      <c r="F65" s="15">
        <f t="shared" si="0"/>
        <v>540000</v>
      </c>
      <c r="G65" s="15"/>
      <c r="H65" s="15">
        <f t="shared" si="1"/>
        <v>25</v>
      </c>
      <c r="I65" s="15">
        <f t="shared" si="2"/>
        <v>5</v>
      </c>
      <c r="J65" s="15">
        <f t="shared" si="3"/>
        <v>98000</v>
      </c>
      <c r="K65" s="15"/>
    </row>
    <row r="66" spans="1:11" x14ac:dyDescent="0.25">
      <c r="A66" s="15">
        <v>165</v>
      </c>
      <c r="B66" s="15" t="s">
        <v>1437</v>
      </c>
      <c r="C66" s="15">
        <v>88000</v>
      </c>
      <c r="D66" s="17" t="s">
        <v>1532</v>
      </c>
      <c r="E66" s="17">
        <v>5</v>
      </c>
      <c r="F66" s="15">
        <f t="shared" si="0"/>
        <v>440000</v>
      </c>
      <c r="G66" s="15"/>
      <c r="H66" s="15">
        <f t="shared" si="1"/>
        <v>28</v>
      </c>
      <c r="I66" s="15">
        <f t="shared" si="2"/>
        <v>5</v>
      </c>
      <c r="J66" s="15">
        <f t="shared" si="3"/>
        <v>86600</v>
      </c>
      <c r="K66" s="15"/>
    </row>
    <row r="67" spans="1:11" x14ac:dyDescent="0.25">
      <c r="A67" s="15">
        <v>166</v>
      </c>
      <c r="B67" s="15" t="s">
        <v>1563</v>
      </c>
      <c r="C67" s="15">
        <v>52000</v>
      </c>
      <c r="D67" s="17" t="s">
        <v>1530</v>
      </c>
      <c r="E67" s="17">
        <v>8</v>
      </c>
      <c r="F67" s="15">
        <f t="shared" ref="F67:F100" si="4">C67*E67</f>
        <v>416000</v>
      </c>
      <c r="G67" s="15"/>
      <c r="H67" s="15">
        <f t="shared" ref="H67:H100" si="5">SUM(E67:E71)</f>
        <v>27</v>
      </c>
      <c r="I67" s="15">
        <f t="shared" ref="I67:I100" si="6">COUNTA(A67:A71)</f>
        <v>5</v>
      </c>
      <c r="J67" s="15">
        <f t="shared" si="3"/>
        <v>90000</v>
      </c>
      <c r="K67" s="15"/>
    </row>
    <row r="68" spans="1:11" x14ac:dyDescent="0.25">
      <c r="A68" s="15">
        <v>167</v>
      </c>
      <c r="B68" s="15" t="s">
        <v>1440</v>
      </c>
      <c r="C68" s="15">
        <v>150000</v>
      </c>
      <c r="D68" s="17" t="s">
        <v>1535</v>
      </c>
      <c r="E68" s="17">
        <v>6</v>
      </c>
      <c r="F68" s="15">
        <f t="shared" si="4"/>
        <v>900000</v>
      </c>
      <c r="G68" s="15"/>
      <c r="H68" s="15">
        <f t="shared" si="5"/>
        <v>28</v>
      </c>
      <c r="I68" s="15">
        <f t="shared" si="6"/>
        <v>5</v>
      </c>
      <c r="J68" s="15">
        <f t="shared" ref="J68:J100" si="7">AVERAGE(C68:C72)</f>
        <v>89200</v>
      </c>
      <c r="K68" s="15"/>
    </row>
    <row r="69" spans="1:11" x14ac:dyDescent="0.25">
      <c r="A69" s="15">
        <v>168</v>
      </c>
      <c r="B69" s="15" t="s">
        <v>1442</v>
      </c>
      <c r="C69" s="15">
        <v>65000</v>
      </c>
      <c r="D69" s="17" t="s">
        <v>1538</v>
      </c>
      <c r="E69" s="17">
        <v>2</v>
      </c>
      <c r="F69" s="15">
        <f t="shared" si="4"/>
        <v>130000</v>
      </c>
      <c r="G69" s="15"/>
      <c r="H69" s="15">
        <f t="shared" si="5"/>
        <v>27</v>
      </c>
      <c r="I69" s="15">
        <f t="shared" si="6"/>
        <v>5</v>
      </c>
      <c r="J69" s="15">
        <f t="shared" si="7"/>
        <v>77600</v>
      </c>
      <c r="K69" s="15"/>
    </row>
    <row r="70" spans="1:11" x14ac:dyDescent="0.25">
      <c r="A70" s="15">
        <v>169</v>
      </c>
      <c r="B70" s="15" t="s">
        <v>1564</v>
      </c>
      <c r="C70" s="15">
        <v>78000</v>
      </c>
      <c r="D70" s="17" t="s">
        <v>1523</v>
      </c>
      <c r="E70" s="17">
        <v>7</v>
      </c>
      <c r="F70" s="15">
        <f t="shared" si="4"/>
        <v>546000</v>
      </c>
      <c r="G70" s="15"/>
      <c r="H70" s="15">
        <f t="shared" si="5"/>
        <v>28</v>
      </c>
      <c r="I70" s="15">
        <f t="shared" si="6"/>
        <v>5</v>
      </c>
      <c r="J70" s="15">
        <f t="shared" si="7"/>
        <v>89600</v>
      </c>
      <c r="K70" s="15"/>
    </row>
    <row r="71" spans="1:11" x14ac:dyDescent="0.25">
      <c r="A71" s="15">
        <v>170</v>
      </c>
      <c r="B71" s="15" t="s">
        <v>1565</v>
      </c>
      <c r="C71" s="15">
        <v>105000</v>
      </c>
      <c r="D71" s="17" t="s">
        <v>1580</v>
      </c>
      <c r="E71" s="17">
        <v>4</v>
      </c>
      <c r="F71" s="15">
        <f t="shared" si="4"/>
        <v>420000</v>
      </c>
      <c r="G71" s="15"/>
      <c r="H71" s="15">
        <f t="shared" si="5"/>
        <v>27</v>
      </c>
      <c r="I71" s="15">
        <f t="shared" si="6"/>
        <v>5</v>
      </c>
      <c r="J71" s="15">
        <f t="shared" si="7"/>
        <v>83000</v>
      </c>
      <c r="K71" s="15"/>
    </row>
    <row r="72" spans="1:11" x14ac:dyDescent="0.25">
      <c r="A72" s="15">
        <v>171</v>
      </c>
      <c r="B72" s="15" t="s">
        <v>1445</v>
      </c>
      <c r="C72" s="15">
        <v>48000</v>
      </c>
      <c r="D72" s="17" t="s">
        <v>295</v>
      </c>
      <c r="E72" s="17">
        <v>9</v>
      </c>
      <c r="F72" s="15">
        <f t="shared" si="4"/>
        <v>432000</v>
      </c>
      <c r="G72" s="15"/>
      <c r="H72" s="15">
        <f t="shared" si="5"/>
        <v>31</v>
      </c>
      <c r="I72" s="15">
        <f t="shared" si="6"/>
        <v>5</v>
      </c>
      <c r="J72" s="15">
        <f t="shared" si="7"/>
        <v>73000</v>
      </c>
      <c r="K72" s="15"/>
    </row>
    <row r="73" spans="1:11" x14ac:dyDescent="0.25">
      <c r="A73" s="15">
        <v>172</v>
      </c>
      <c r="B73" s="15" t="s">
        <v>1439</v>
      </c>
      <c r="C73" s="15">
        <v>92000</v>
      </c>
      <c r="D73" s="17" t="s">
        <v>1579</v>
      </c>
      <c r="E73" s="17">
        <v>5</v>
      </c>
      <c r="F73" s="15">
        <f t="shared" si="4"/>
        <v>460000</v>
      </c>
      <c r="G73" s="15"/>
      <c r="H73" s="15">
        <f t="shared" si="5"/>
        <v>26</v>
      </c>
      <c r="I73" s="15">
        <f t="shared" si="6"/>
        <v>5</v>
      </c>
      <c r="J73" s="15">
        <f t="shared" si="7"/>
        <v>80400</v>
      </c>
      <c r="K73" s="15"/>
    </row>
    <row r="74" spans="1:11" x14ac:dyDescent="0.25">
      <c r="A74" s="15">
        <v>173</v>
      </c>
      <c r="B74" s="15" t="s">
        <v>1566</v>
      </c>
      <c r="C74" s="15">
        <v>125000</v>
      </c>
      <c r="D74" s="17" t="s">
        <v>1527</v>
      </c>
      <c r="E74" s="17">
        <v>3</v>
      </c>
      <c r="F74" s="15">
        <f t="shared" si="4"/>
        <v>375000</v>
      </c>
      <c r="G74" s="15"/>
      <c r="H74" s="15">
        <f t="shared" si="5"/>
        <v>28</v>
      </c>
      <c r="I74" s="15">
        <f t="shared" si="6"/>
        <v>5</v>
      </c>
      <c r="J74" s="15">
        <f t="shared" si="7"/>
        <v>86000</v>
      </c>
      <c r="K74" s="15"/>
    </row>
    <row r="75" spans="1:11" x14ac:dyDescent="0.25">
      <c r="A75" s="15">
        <v>174</v>
      </c>
      <c r="B75" s="15" t="s">
        <v>1444</v>
      </c>
      <c r="C75" s="15">
        <v>45000</v>
      </c>
      <c r="D75" s="17" t="s">
        <v>1525</v>
      </c>
      <c r="E75" s="17">
        <v>6</v>
      </c>
      <c r="F75" s="15">
        <f t="shared" si="4"/>
        <v>270000</v>
      </c>
      <c r="G75" s="15"/>
      <c r="H75" s="15">
        <f t="shared" si="5"/>
        <v>27</v>
      </c>
      <c r="I75" s="15">
        <f t="shared" si="6"/>
        <v>5</v>
      </c>
      <c r="J75" s="15">
        <f t="shared" si="7"/>
        <v>69400</v>
      </c>
      <c r="K75" s="15"/>
    </row>
    <row r="76" spans="1:11" x14ac:dyDescent="0.25">
      <c r="A76" s="15">
        <v>175</v>
      </c>
      <c r="B76" s="15" t="s">
        <v>1567</v>
      </c>
      <c r="C76" s="15">
        <v>55000</v>
      </c>
      <c r="D76" s="17" t="s">
        <v>1578</v>
      </c>
      <c r="E76" s="17">
        <v>8</v>
      </c>
      <c r="F76" s="15">
        <f t="shared" si="4"/>
        <v>440000</v>
      </c>
      <c r="G76" s="15"/>
      <c r="H76" s="15">
        <f t="shared" si="5"/>
        <v>26</v>
      </c>
      <c r="I76" s="15">
        <f t="shared" si="6"/>
        <v>5</v>
      </c>
      <c r="J76" s="15">
        <f t="shared" si="7"/>
        <v>74000</v>
      </c>
      <c r="K76" s="15"/>
    </row>
    <row r="77" spans="1:11" x14ac:dyDescent="0.25">
      <c r="A77" s="15">
        <v>176</v>
      </c>
      <c r="B77" s="15" t="s">
        <v>1431</v>
      </c>
      <c r="C77" s="15">
        <v>85000</v>
      </c>
      <c r="D77" s="17" t="s">
        <v>1532</v>
      </c>
      <c r="E77" s="17">
        <v>4</v>
      </c>
      <c r="F77" s="15">
        <f t="shared" si="4"/>
        <v>340000</v>
      </c>
      <c r="G77" s="15"/>
      <c r="H77" s="15">
        <f t="shared" si="5"/>
        <v>27</v>
      </c>
      <c r="I77" s="15">
        <f t="shared" si="6"/>
        <v>5</v>
      </c>
      <c r="J77" s="15">
        <f t="shared" si="7"/>
        <v>82000</v>
      </c>
      <c r="K77" s="15"/>
    </row>
    <row r="78" spans="1:11" x14ac:dyDescent="0.25">
      <c r="A78" s="15">
        <v>177</v>
      </c>
      <c r="B78" s="15" t="s">
        <v>1429</v>
      </c>
      <c r="C78" s="15">
        <v>120000</v>
      </c>
      <c r="D78" s="17" t="s">
        <v>1530</v>
      </c>
      <c r="E78" s="17">
        <v>7</v>
      </c>
      <c r="F78" s="15">
        <f t="shared" si="4"/>
        <v>840000</v>
      </c>
      <c r="G78" s="15"/>
      <c r="H78" s="15">
        <f t="shared" si="5"/>
        <v>29</v>
      </c>
      <c r="I78" s="15">
        <f t="shared" si="6"/>
        <v>5</v>
      </c>
      <c r="J78" s="15">
        <f t="shared" si="7"/>
        <v>87000</v>
      </c>
      <c r="K78" s="15"/>
    </row>
    <row r="79" spans="1:11" x14ac:dyDescent="0.25">
      <c r="A79" s="15">
        <v>178</v>
      </c>
      <c r="B79" s="15" t="s">
        <v>1568</v>
      </c>
      <c r="C79" s="15">
        <v>42000</v>
      </c>
      <c r="D79" s="17" t="s">
        <v>1535</v>
      </c>
      <c r="E79" s="17">
        <v>2</v>
      </c>
      <c r="F79" s="15">
        <f t="shared" si="4"/>
        <v>84000</v>
      </c>
      <c r="G79" s="15"/>
      <c r="H79" s="15">
        <f t="shared" si="5"/>
        <v>25</v>
      </c>
      <c r="I79" s="15">
        <f t="shared" si="6"/>
        <v>5</v>
      </c>
      <c r="J79" s="15">
        <f t="shared" si="7"/>
        <v>78000</v>
      </c>
      <c r="K79" s="15"/>
    </row>
    <row r="80" spans="1:11" x14ac:dyDescent="0.25">
      <c r="A80" s="15">
        <v>179</v>
      </c>
      <c r="B80" s="15" t="s">
        <v>1569</v>
      </c>
      <c r="C80" s="15">
        <v>68000</v>
      </c>
      <c r="D80" s="17" t="s">
        <v>1538</v>
      </c>
      <c r="E80" s="17">
        <v>5</v>
      </c>
      <c r="F80" s="15">
        <f t="shared" si="4"/>
        <v>340000</v>
      </c>
      <c r="G80" s="15"/>
      <c r="H80" s="15">
        <f t="shared" si="5"/>
        <v>31</v>
      </c>
      <c r="I80" s="15">
        <f t="shared" si="6"/>
        <v>5</v>
      </c>
      <c r="J80" s="15">
        <f t="shared" si="7"/>
        <v>81600</v>
      </c>
      <c r="K80" s="15"/>
    </row>
    <row r="81" spans="1:11" x14ac:dyDescent="0.25">
      <c r="A81" s="15">
        <v>180</v>
      </c>
      <c r="B81" s="15" t="s">
        <v>1340</v>
      </c>
      <c r="C81" s="15">
        <v>95000</v>
      </c>
      <c r="D81" s="17" t="s">
        <v>1523</v>
      </c>
      <c r="E81" s="17">
        <v>9</v>
      </c>
      <c r="F81" s="15">
        <f t="shared" si="4"/>
        <v>855000</v>
      </c>
      <c r="G81" s="15"/>
      <c r="H81" s="15">
        <f t="shared" si="5"/>
        <v>30</v>
      </c>
      <c r="I81" s="15">
        <f t="shared" si="6"/>
        <v>5</v>
      </c>
      <c r="J81" s="15">
        <f t="shared" si="7"/>
        <v>95000</v>
      </c>
      <c r="K81" s="15"/>
    </row>
    <row r="82" spans="1:11" x14ac:dyDescent="0.25">
      <c r="A82" s="15">
        <v>181</v>
      </c>
      <c r="B82" s="15" t="s">
        <v>1570</v>
      </c>
      <c r="C82" s="15">
        <v>110000</v>
      </c>
      <c r="D82" s="17" t="s">
        <v>1580</v>
      </c>
      <c r="E82" s="17">
        <v>6</v>
      </c>
      <c r="F82" s="15">
        <f t="shared" si="4"/>
        <v>660000</v>
      </c>
      <c r="G82" s="15"/>
      <c r="H82" s="15">
        <f t="shared" si="5"/>
        <v>28</v>
      </c>
      <c r="I82" s="15">
        <f t="shared" si="6"/>
        <v>5</v>
      </c>
      <c r="J82" s="15">
        <f t="shared" si="7"/>
        <v>93600</v>
      </c>
      <c r="K82" s="15"/>
    </row>
    <row r="83" spans="1:11" x14ac:dyDescent="0.25">
      <c r="A83" s="15">
        <v>182</v>
      </c>
      <c r="B83" s="15" t="s">
        <v>1318</v>
      </c>
      <c r="C83" s="15">
        <v>75000</v>
      </c>
      <c r="D83" s="17" t="s">
        <v>1528</v>
      </c>
      <c r="E83" s="17">
        <v>3</v>
      </c>
      <c r="F83" s="15">
        <f t="shared" si="4"/>
        <v>225000</v>
      </c>
      <c r="G83" s="15"/>
      <c r="H83" s="15">
        <f t="shared" si="5"/>
        <v>27</v>
      </c>
      <c r="I83" s="15">
        <f t="shared" si="6"/>
        <v>5</v>
      </c>
      <c r="J83" s="15">
        <f t="shared" si="7"/>
        <v>82000</v>
      </c>
      <c r="K83" s="15"/>
    </row>
    <row r="84" spans="1:11" x14ac:dyDescent="0.25">
      <c r="A84" s="15">
        <v>183</v>
      </c>
      <c r="B84" s="15" t="s">
        <v>1322</v>
      </c>
      <c r="C84" s="15">
        <v>60000</v>
      </c>
      <c r="D84" s="17" t="s">
        <v>1579</v>
      </c>
      <c r="E84" s="17">
        <v>8</v>
      </c>
      <c r="F84" s="15">
        <f t="shared" si="4"/>
        <v>480000</v>
      </c>
      <c r="G84" s="15"/>
      <c r="H84" s="15">
        <f t="shared" si="5"/>
        <v>26</v>
      </c>
      <c r="I84" s="15">
        <f t="shared" si="6"/>
        <v>5</v>
      </c>
      <c r="J84" s="15">
        <f t="shared" si="7"/>
        <v>97000</v>
      </c>
      <c r="K84" s="15"/>
    </row>
    <row r="85" spans="1:11" x14ac:dyDescent="0.25">
      <c r="A85" s="15">
        <v>184</v>
      </c>
      <c r="B85" s="15" t="s">
        <v>1324</v>
      </c>
      <c r="C85" s="15">
        <v>135000</v>
      </c>
      <c r="D85" s="17" t="s">
        <v>1527</v>
      </c>
      <c r="E85" s="17">
        <v>4</v>
      </c>
      <c r="F85" s="15">
        <f t="shared" si="4"/>
        <v>540000</v>
      </c>
      <c r="G85" s="15"/>
      <c r="H85" s="15">
        <f t="shared" si="5"/>
        <v>24</v>
      </c>
      <c r="I85" s="15">
        <f t="shared" si="6"/>
        <v>5</v>
      </c>
      <c r="J85" s="15">
        <f t="shared" si="7"/>
        <v>98000</v>
      </c>
      <c r="K85" s="15"/>
    </row>
    <row r="86" spans="1:11" x14ac:dyDescent="0.25">
      <c r="A86" s="15">
        <v>185</v>
      </c>
      <c r="B86" s="15" t="s">
        <v>1326</v>
      </c>
      <c r="C86" s="15">
        <v>88000</v>
      </c>
      <c r="D86" s="17" t="s">
        <v>1525</v>
      </c>
      <c r="E86" s="17">
        <v>7</v>
      </c>
      <c r="F86" s="15">
        <f t="shared" si="4"/>
        <v>616000</v>
      </c>
      <c r="G86" s="15"/>
      <c r="H86" s="15">
        <f t="shared" si="5"/>
        <v>29</v>
      </c>
      <c r="I86" s="15">
        <f t="shared" si="6"/>
        <v>5</v>
      </c>
      <c r="J86" s="15">
        <f t="shared" si="7"/>
        <v>86600</v>
      </c>
      <c r="K86" s="15"/>
    </row>
    <row r="87" spans="1:11" x14ac:dyDescent="0.25">
      <c r="A87" s="15">
        <v>186</v>
      </c>
      <c r="B87" s="15" t="s">
        <v>1571</v>
      </c>
      <c r="C87" s="15">
        <v>52000</v>
      </c>
      <c r="D87" s="17" t="s">
        <v>1578</v>
      </c>
      <c r="E87" s="17">
        <v>5</v>
      </c>
      <c r="F87" s="15">
        <f t="shared" si="4"/>
        <v>260000</v>
      </c>
      <c r="G87" s="15"/>
      <c r="H87" s="15">
        <f t="shared" si="5"/>
        <v>25</v>
      </c>
      <c r="I87" s="15">
        <f t="shared" si="6"/>
        <v>5</v>
      </c>
      <c r="J87" s="15">
        <f t="shared" si="7"/>
        <v>90000</v>
      </c>
      <c r="K87" s="15"/>
    </row>
    <row r="88" spans="1:11" x14ac:dyDescent="0.25">
      <c r="A88" s="15">
        <v>187</v>
      </c>
      <c r="B88" s="15" t="s">
        <v>1237</v>
      </c>
      <c r="C88" s="15">
        <v>150000</v>
      </c>
      <c r="D88" s="17" t="s">
        <v>1532</v>
      </c>
      <c r="E88" s="17">
        <v>2</v>
      </c>
      <c r="F88" s="15">
        <f t="shared" si="4"/>
        <v>300000</v>
      </c>
      <c r="G88" s="15"/>
      <c r="H88" s="15">
        <f t="shared" si="5"/>
        <v>28</v>
      </c>
      <c r="I88" s="15">
        <f t="shared" si="6"/>
        <v>5</v>
      </c>
      <c r="J88" s="15">
        <f t="shared" si="7"/>
        <v>89200</v>
      </c>
      <c r="K88" s="15"/>
    </row>
    <row r="89" spans="1:11" x14ac:dyDescent="0.25">
      <c r="A89" s="15">
        <v>188</v>
      </c>
      <c r="B89" s="15" t="s">
        <v>1572</v>
      </c>
      <c r="C89" s="15">
        <v>65000</v>
      </c>
      <c r="D89" s="17" t="s">
        <v>1530</v>
      </c>
      <c r="E89" s="17">
        <v>6</v>
      </c>
      <c r="F89" s="15">
        <f t="shared" si="4"/>
        <v>390000</v>
      </c>
      <c r="G89" s="15"/>
      <c r="H89" s="15">
        <f t="shared" si="5"/>
        <v>30</v>
      </c>
      <c r="I89" s="15">
        <f t="shared" si="6"/>
        <v>5</v>
      </c>
      <c r="J89" s="15">
        <f t="shared" si="7"/>
        <v>77600</v>
      </c>
      <c r="K89" s="15"/>
    </row>
    <row r="90" spans="1:11" x14ac:dyDescent="0.25">
      <c r="A90" s="15">
        <v>189</v>
      </c>
      <c r="B90" s="15" t="s">
        <v>1573</v>
      </c>
      <c r="C90" s="15">
        <v>78000</v>
      </c>
      <c r="D90" s="17" t="s">
        <v>1535</v>
      </c>
      <c r="E90" s="17">
        <v>9</v>
      </c>
      <c r="F90" s="15">
        <f t="shared" si="4"/>
        <v>702000</v>
      </c>
      <c r="G90" s="15"/>
      <c r="H90" s="15">
        <f t="shared" si="5"/>
        <v>31</v>
      </c>
      <c r="I90" s="15">
        <f t="shared" si="6"/>
        <v>5</v>
      </c>
      <c r="J90" s="15">
        <f t="shared" si="7"/>
        <v>89600</v>
      </c>
      <c r="K90" s="15"/>
    </row>
    <row r="91" spans="1:11" x14ac:dyDescent="0.25">
      <c r="A91" s="15">
        <v>190</v>
      </c>
      <c r="B91" s="15" t="s">
        <v>1574</v>
      </c>
      <c r="C91" s="15">
        <v>105000</v>
      </c>
      <c r="D91" s="17" t="s">
        <v>1538</v>
      </c>
      <c r="E91" s="17">
        <v>3</v>
      </c>
      <c r="F91" s="15">
        <f t="shared" si="4"/>
        <v>315000</v>
      </c>
      <c r="G91" s="15"/>
      <c r="H91" s="15">
        <f t="shared" si="5"/>
        <v>27</v>
      </c>
      <c r="I91" s="15">
        <f t="shared" si="6"/>
        <v>5</v>
      </c>
      <c r="J91" s="15">
        <f t="shared" si="7"/>
        <v>83000</v>
      </c>
      <c r="K91" s="15"/>
    </row>
    <row r="92" spans="1:11" x14ac:dyDescent="0.25">
      <c r="A92" s="15">
        <v>191</v>
      </c>
      <c r="B92" s="15" t="s">
        <v>1365</v>
      </c>
      <c r="C92" s="15">
        <v>48000</v>
      </c>
      <c r="D92" s="17" t="s">
        <v>1523</v>
      </c>
      <c r="E92" s="17">
        <v>8</v>
      </c>
      <c r="F92" s="15">
        <f t="shared" si="4"/>
        <v>384000</v>
      </c>
      <c r="G92" s="15"/>
      <c r="H92" s="15">
        <f t="shared" si="5"/>
        <v>30</v>
      </c>
      <c r="I92" s="15">
        <f t="shared" si="6"/>
        <v>5</v>
      </c>
      <c r="J92" s="15">
        <f t="shared" si="7"/>
        <v>73000</v>
      </c>
      <c r="K92" s="15"/>
    </row>
    <row r="93" spans="1:11" x14ac:dyDescent="0.25">
      <c r="A93" s="15">
        <v>192</v>
      </c>
      <c r="B93" s="15" t="s">
        <v>1575</v>
      </c>
      <c r="C93" s="15">
        <v>92000</v>
      </c>
      <c r="D93" s="17" t="s">
        <v>1580</v>
      </c>
      <c r="E93" s="17">
        <v>4</v>
      </c>
      <c r="F93" s="15">
        <f t="shared" si="4"/>
        <v>368000</v>
      </c>
      <c r="G93" s="15"/>
      <c r="H93" s="15">
        <f t="shared" si="5"/>
        <v>24</v>
      </c>
      <c r="I93" s="15">
        <f t="shared" si="6"/>
        <v>5</v>
      </c>
      <c r="J93" s="15">
        <f t="shared" si="7"/>
        <v>80400</v>
      </c>
      <c r="K93" s="15"/>
    </row>
    <row r="94" spans="1:11" x14ac:dyDescent="0.25">
      <c r="A94" s="15">
        <v>193</v>
      </c>
      <c r="B94" s="15" t="s">
        <v>1364</v>
      </c>
      <c r="C94" s="15">
        <v>125000</v>
      </c>
      <c r="D94" s="17" t="s">
        <v>295</v>
      </c>
      <c r="E94" s="17">
        <v>7</v>
      </c>
      <c r="F94" s="15">
        <f t="shared" si="4"/>
        <v>875000</v>
      </c>
      <c r="G94" s="15"/>
      <c r="H94" s="15">
        <f t="shared" si="5"/>
        <v>29</v>
      </c>
      <c r="I94" s="15">
        <f t="shared" si="6"/>
        <v>5</v>
      </c>
      <c r="J94" s="15">
        <f t="shared" si="7"/>
        <v>86000</v>
      </c>
      <c r="K94" s="15"/>
    </row>
    <row r="95" spans="1:11" x14ac:dyDescent="0.25">
      <c r="A95" s="15">
        <v>194</v>
      </c>
      <c r="B95" s="15" t="s">
        <v>1361</v>
      </c>
      <c r="C95" s="15">
        <v>45000</v>
      </c>
      <c r="D95" s="17" t="s">
        <v>1579</v>
      </c>
      <c r="E95" s="17">
        <v>5</v>
      </c>
      <c r="F95" s="15">
        <f t="shared" si="4"/>
        <v>225000</v>
      </c>
      <c r="G95" s="15"/>
      <c r="H95" s="15">
        <f t="shared" si="5"/>
        <v>26</v>
      </c>
      <c r="I95" s="15">
        <f t="shared" si="6"/>
        <v>5</v>
      </c>
      <c r="J95" s="15">
        <f t="shared" si="7"/>
        <v>69400</v>
      </c>
      <c r="K95" s="15"/>
    </row>
    <row r="96" spans="1:11" x14ac:dyDescent="0.25">
      <c r="A96" s="15">
        <v>195</v>
      </c>
      <c r="B96" s="15" t="s">
        <v>1360</v>
      </c>
      <c r="C96" s="15">
        <v>55000</v>
      </c>
      <c r="D96" s="17" t="s">
        <v>1527</v>
      </c>
      <c r="E96" s="17">
        <v>6</v>
      </c>
      <c r="F96" s="15">
        <f t="shared" si="4"/>
        <v>330000</v>
      </c>
      <c r="G96" s="15"/>
      <c r="H96" s="15">
        <f t="shared" si="5"/>
        <v>31</v>
      </c>
      <c r="I96" s="15">
        <f t="shared" si="6"/>
        <v>5</v>
      </c>
      <c r="J96" s="15">
        <f t="shared" si="7"/>
        <v>74000</v>
      </c>
      <c r="K96" s="15"/>
    </row>
    <row r="97" spans="1:11" x14ac:dyDescent="0.25">
      <c r="A97" s="15">
        <v>196</v>
      </c>
      <c r="B97" s="15" t="s">
        <v>20</v>
      </c>
      <c r="C97" s="15">
        <v>85000</v>
      </c>
      <c r="D97" s="17" t="s">
        <v>1525</v>
      </c>
      <c r="E97" s="17">
        <v>2</v>
      </c>
      <c r="F97" s="15">
        <f t="shared" si="4"/>
        <v>170000</v>
      </c>
      <c r="G97" s="15"/>
      <c r="H97" s="15">
        <f t="shared" si="5"/>
        <v>25</v>
      </c>
      <c r="I97" s="15">
        <f t="shared" si="6"/>
        <v>4</v>
      </c>
      <c r="J97" s="15">
        <f t="shared" si="7"/>
        <v>78750</v>
      </c>
      <c r="K97" s="15"/>
    </row>
    <row r="98" spans="1:11" x14ac:dyDescent="0.25">
      <c r="A98" s="15">
        <v>197</v>
      </c>
      <c r="B98" s="15" t="s">
        <v>1576</v>
      </c>
      <c r="C98" s="15">
        <v>120000</v>
      </c>
      <c r="D98" s="17" t="s">
        <v>1578</v>
      </c>
      <c r="E98" s="17">
        <v>9</v>
      </c>
      <c r="F98" s="15">
        <f t="shared" si="4"/>
        <v>1080000</v>
      </c>
      <c r="G98" s="15"/>
      <c r="H98" s="15">
        <f t="shared" si="5"/>
        <v>23</v>
      </c>
      <c r="I98" s="15">
        <f t="shared" si="6"/>
        <v>3</v>
      </c>
      <c r="J98" s="15">
        <f t="shared" si="7"/>
        <v>76666.666666666672</v>
      </c>
      <c r="K98" s="15"/>
    </row>
    <row r="99" spans="1:11" x14ac:dyDescent="0.25">
      <c r="A99" s="15">
        <v>198</v>
      </c>
      <c r="B99" s="15" t="s">
        <v>1316</v>
      </c>
      <c r="C99" s="15">
        <v>42000</v>
      </c>
      <c r="D99" s="17" t="s">
        <v>1523</v>
      </c>
      <c r="E99" s="17">
        <v>4</v>
      </c>
      <c r="F99" s="15">
        <f t="shared" si="4"/>
        <v>168000</v>
      </c>
      <c r="G99" s="15"/>
      <c r="H99" s="15">
        <f t="shared" si="5"/>
        <v>14</v>
      </c>
      <c r="I99" s="15">
        <f t="shared" si="6"/>
        <v>2</v>
      </c>
      <c r="J99" s="15">
        <f t="shared" si="7"/>
        <v>55000</v>
      </c>
      <c r="K99" s="15"/>
    </row>
    <row r="100" spans="1:11" x14ac:dyDescent="0.25">
      <c r="A100" s="15">
        <v>199</v>
      </c>
      <c r="B100" s="15" t="s">
        <v>1577</v>
      </c>
      <c r="C100" s="15">
        <v>68000</v>
      </c>
      <c r="D100" s="17" t="s">
        <v>1532</v>
      </c>
      <c r="E100" s="17">
        <v>10</v>
      </c>
      <c r="F100" s="15">
        <f t="shared" si="4"/>
        <v>680000</v>
      </c>
      <c r="G100" s="15"/>
      <c r="H100" s="15">
        <f t="shared" si="5"/>
        <v>10</v>
      </c>
      <c r="I100" s="15">
        <f t="shared" si="6"/>
        <v>1</v>
      </c>
      <c r="J100" s="15">
        <f t="shared" si="7"/>
        <v>68000</v>
      </c>
      <c r="K100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Sheet8</vt:lpstr>
      <vt:lpstr>Sheet5</vt:lpstr>
      <vt:lpstr>Sheet7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2026-09-14T05:18:17Z</dcterms:modified>
</cp:coreProperties>
</file>